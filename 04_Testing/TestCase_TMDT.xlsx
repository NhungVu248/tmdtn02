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ownloadD\báo cáo\"/>
    </mc:Choice>
  </mc:AlternateContent>
  <xr:revisionPtr revIDLastSave="0" documentId="13_ncr:1_{A22AE450-F7AD-4811-AF64-18431582B806}" xr6:coauthVersionLast="47" xr6:coauthVersionMax="47" xr10:uidLastSave="{00000000-0000-0000-0000-000000000000}"/>
  <bookViews>
    <workbookView xWindow="-108" yWindow="-108" windowWidth="23256" windowHeight="13896" xr2:uid="{00000000-000D-0000-FFFF-FFFF00000000}"/>
  </bookViews>
  <sheets>
    <sheet name="Functional Test Case" sheetId="1" r:id="rId1"/>
    <sheet name="Security Test Case" sheetId="2" r:id="rId2"/>
  </sheets>
  <definedNames>
    <definedName name="d">#REF!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 i="2" l="1"/>
  <c r="I5" i="2"/>
  <c r="I4" i="2"/>
  <c r="I3" i="2"/>
  <c r="I2" i="2"/>
  <c r="I6" i="1"/>
  <c r="I5" i="1"/>
  <c r="I4" i="1"/>
  <c r="I3" i="1"/>
  <c r="I2" i="1"/>
</calcChain>
</file>

<file path=xl/sharedStrings.xml><?xml version="1.0" encoding="utf-8"?>
<sst xmlns="http://schemas.openxmlformats.org/spreadsheetml/2006/main" count="572" uniqueCount="415">
  <si>
    <t>Đạt</t>
  </si>
  <si>
    <t>Không Đạt</t>
  </si>
  <si>
    <t>Không chạy</t>
  </si>
  <si>
    <t>Chưa test</t>
  </si>
  <si>
    <t>Tổng ca kiểm thử</t>
  </si>
  <si>
    <t>Nhóm chức năng</t>
  </si>
  <si>
    <t>Mã ca kiểm thử</t>
  </si>
  <si>
    <t>Mô tả ca kiểm thử</t>
  </si>
  <si>
    <t>Dữ liệu kiểm thử</t>
  </si>
  <si>
    <t>Các bước thực hiện</t>
  </si>
  <si>
    <t>Kết quả mong đợi</t>
  </si>
  <si>
    <t>Kết quả thực tế</t>
  </si>
  <si>
    <t>Kết luận</t>
  </si>
  <si>
    <t>Nguyên nhân</t>
  </si>
  <si>
    <t>Người thực hiện</t>
  </si>
  <si>
    <t>UC-01 – Duyệt trang chủ &amp; danh mục nhiều cấp</t>
  </si>
  <si>
    <t>HTTPS và Cookie</t>
  </si>
  <si>
    <t xml:space="preserve">SEC01 </t>
  </si>
  <si>
    <t>Kiểm tra giao thức truyền dữ liệu và cơ chế lưu trữ thông tin xác thực</t>
  </si>
  <si>
    <t>Website và Backend đang hoạt động; có tài khoản người dùng hợp lệ</t>
  </si>
  <si>
    <t>1. Truy cập StayTour, kiểm tra giao thức HTTP/HTTPS
2. Mở F12 =&gt; Network, kiểm tra Request URL của API
3. Đăng nhập tài khoản khách hàng 
4. Kiểm tra JWT trong Application =&gt; Local Storage
5. Kiểm tra Cookies và các thuộc tính HttpOnly, Secure, SameSite 
6. Kiểm tra JWT được gửi qua Authorization Bearer trong Network
7. Đăng xuất, kiểm tra JWT có bị xóa khỏi Local Storage không</t>
  </si>
  <si>
    <t>Website triển khai thực tế sử dụng HTTPS. Nếu sử dụng cookie phiên, cookie được cấu hình các thuộc tính bảo mật phù hợp; thông tin xác thực không bị lộ qua kết nối không an toàn</t>
  </si>
  <si>
    <t>Website và API sử dụng HTTP localhost; JWT lưu trong Local Storage và gửi qua Authorization Bearer</t>
  </si>
  <si>
    <t>Chưa triển khai HTTPS để xác minh mã hóa đường truyền; JWT lưu trong Local Storage nên không áp dụng được các thuộc tính bảo mật của cookie phiên</t>
  </si>
  <si>
    <t>TC001</t>
  </si>
  <si>
    <t>Hiển thị trang chủ và danh mục</t>
  </si>
  <si>
    <t>CSDL có ít nhất 01 homestay, 01 tour đang công khai</t>
  </si>
  <si>
    <t xml:space="preserve">1.  Mở trang chủ bằng tài khoản khách 
2.  Chọn một danh mục và một thẻ dịch vụ </t>
  </si>
  <si>
    <t>Trang chủ hiển thị dữ liệu công khai; danh mục và thẻ dịch vụ dẫn đến trang tương ứng; không xuất hiện lỗi tải trang</t>
  </si>
  <si>
    <t>Trang chủ hiển thị homestay, tour và danh mục công khai. Nhấn vào danh mục hoặc dịch vụ chuyển đến đúng trang</t>
  </si>
  <si>
    <t>Yến</t>
  </si>
  <si>
    <t>Password Hashing</t>
  </si>
  <si>
    <t>SEC02</t>
  </si>
  <si>
    <t>Kiểm tra mật khẩu không được lưu dưới dạng văn bản rõ</t>
  </si>
  <si>
    <t xml:space="preserve">Chức năng đăng ký và quyền xem mã nguồn hoặc database </t>
  </si>
  <si>
    <t>1. Đăng ký tài khoản mới với mật khẩu hợp lệ
2. Mở phpMyAdmin, chọn database tmdt và tìm tài khoản vừa đăng ký
3. Kiểm tra giá trị trường password trong bảng User
4. Mở mã nguồn Backend, kiểm tra hàm bcrypt.hash() khi đăng ký và bcrypt.compare() khi đăng nhập
5. Đăng nhập bằng mật khẩu đúng và thử lại bằng mật khẩu sai</t>
  </si>
  <si>
    <t>Mật khẩu được băm bằng bcrypt trước khi lưu vào database, không lưu dạng văn bản rõ. Mật khẩu đúng đăng nhập thành công, mật khẩu sai bị từ chối</t>
  </si>
  <si>
    <t>Mật khẩu được lưu dưới dạng chuỗi băm bcrypt, không trùng với mật khẩu gốc. Hệ thống sử dụng bcrypt.hash() và bcrypt.compare() để xử lý mật khẩu</t>
  </si>
  <si>
    <t>UC-02 – Tìm kiếm &amp; lọc</t>
  </si>
  <si>
    <t>TC002</t>
  </si>
  <si>
    <t>Tìm theo địa điểm có kết quả</t>
  </si>
  <si>
    <t>Có homestay/tour công khai tại địa điểm A</t>
  </si>
  <si>
    <t xml:space="preserve">1.  Mở trang tìm kiếm 
2.  Nhập địa điểm A 
3.  Thực hiện tìm kiếm </t>
  </si>
  <si>
    <t>Danh sách chỉ chứa các dịch vụ phù hợp điều kiện địa điểm; tên, giá và đường dẫn chi tiết hiển thị chính xác</t>
  </si>
  <si>
    <t xml:space="preserve">Hệ thống hiển thị chính xác các homestay và tour phù hợp với địa điểm tìm kiếm, tên, giá và đường dẫn chi tiết </t>
  </si>
  <si>
    <t>Kiểm tra SQL Injection và dữ liệu đầu vào</t>
  </si>
  <si>
    <t>SEC03</t>
  </si>
  <si>
    <t>Kiểm tra phòng chống SQL Injection và xác thực dữ liệu đầu vào</t>
  </si>
  <si>
    <t xml:space="preserve"> OR '1'='1</t>
  </si>
  <si>
    <t>1. Nhập chuỗi SQL Injection vào ô tìm kiếm và thực hiện tìm kiếm.
2. Kiểm tra kết quả hiển thị trên website.
3. Mở DevTools =&gt; Network, kiểm tra phản hồi API.
4. Nhập dữ liệu không hợp lệ vào biểu mẫu đăng ký.
5. Kiểm tra thông báo lỗi và phản hồi Backend.
6. Đối chiếu mã nguồn sử dụng Prisma ORM và kiểm tra dữ liệu đầu vào</t>
  </si>
  <si>
    <t>Chuỗi SQL Injection không làm thay đổi truy vấn hoặc tiết lộ dữ liệu; dữ liệu không hợp lệ bị từ chối; Backend sử dụng truy vấn an toàn</t>
  </si>
  <si>
    <t>TC003</t>
  </si>
  <si>
    <t>Chuỗi SQL Injection được xử lý như dữ liệu tìm kiếm thông thường, trả về 0 kết quả; không xuất hiện lỗi SQL hoặc dữ liệu bất thường</t>
  </si>
  <si>
    <t>Tìm kiếm không có kết quả</t>
  </si>
  <si>
    <t>Chuỗi địa điểm không tồn tại: ZZ_TEST_987</t>
  </si>
  <si>
    <t xml:space="preserve">1.  Nhập ZZ_TEST_987 vào ô tìm kiếm 
2.  Nhấn Tìm kiếm </t>
  </si>
  <si>
    <t>Hệ thống hiển thị trạng thái không có kết quả; không trả dữ liệu không phù hợp và không phát sinh lỗi máy chủ</t>
  </si>
  <si>
    <t>Hệ thống hiển thị thông báo không tìm thấy kết quả và không hiển thị dịch vụ không liên quan</t>
  </si>
  <si>
    <t xml:space="preserve">Kiểm tra XSS, CSP </t>
  </si>
  <si>
    <t>SEC04</t>
  </si>
  <si>
    <t>Kiểm tra ngăn chặn thực thi mã XSS và cấu hình CSP</t>
  </si>
  <si>
    <t xml:space="preserve">
&lt;img src=x onerror=alert('XSS_TEST')&gt;</t>
  </si>
  <si>
    <t>1. Nhập chuỗi XSS vào nội dung đánh giá homestay.
2. Gửi đánh giá và đăng nhập Admin để duyệt.
3. Kiểm tra nội dung tại trang quản trị.
4. Duyệt đánh giá, mở trang chi tiết homestay.
5. Kiểm tra mã JavaScript có được thực thi không.
6. Mở Network =&gt; Response Headers, kiểm tra CSP.</t>
  </si>
  <si>
    <t>UC-03 – Xem chi tiết &amp; tình trạng còn trống theo thời gian thực</t>
  </si>
  <si>
    <t>Chuỗi XSS không được thực thi tại cả hai trang; CSP được cấu hình phù hợp</t>
  </si>
  <si>
    <t>TC004</t>
  </si>
  <si>
    <t>Xem thông tin homestay</t>
  </si>
  <si>
    <t>Chuỗi XSS hiển thị dưới dạng văn bản tại trang quản trị và trang khách hàng, không thực thi JavaScript. Không tìm thấy header Content-Security-Policy trong phản hồi Document và API</t>
  </si>
  <si>
    <t>01 homestay công khai có ảnh, giá và lịch trống</t>
  </si>
  <si>
    <t xml:space="preserve">1.  Từ danh sách chọn homestay 
2.  Xem thông tin, giá và lịch còn chỗ </t>
  </si>
  <si>
    <t>Hệ thống xử lý an toàn chuỗi XSS đã thử nhưng chưa cấu hình CSP để bổ sung lớp bảo vệ chống thực thi nội dung không tin cậy</t>
  </si>
  <si>
    <t>Trang chi tiết hiển thị đúng dữ liệu của homestay đã chọn; ngày không khả dụng không thể chọn để đặt</t>
  </si>
  <si>
    <t>Trang chi tiết homestay hiển thị chính xác dữ liệu của phòng đã chọn; ngày không khả dụng không thể đặt</t>
  </si>
  <si>
    <t>Kiểm tra CSRF</t>
  </si>
  <si>
    <t>SEC05</t>
  </si>
  <si>
    <t>Kiểm tra ngăn chặn yêu cầu thay đổi dữ liệu trái phép CSRF</t>
  </si>
  <si>
    <t>Yêu cầu API thay đổi dữ liệu không có thông tin xác thực hợp lệ</t>
  </si>
  <si>
    <t>1. Đăng nhập, mở hồ sơ và ghi nhận họ tên
2. Cập nhật họ tên, kiểm tra API PUT /api/auth/profile trong Network
3. Gửi lại yêu cầu sau khi xóa Authorization
4. Từ trang localhost:5500/CSRF.html, gửi yêu cầu PUT không kèm JWT
5. Kiểm tra mã phản hồi và tải lại hồ sơ để đối chiếu</t>
  </si>
  <si>
    <t>TC005</t>
  </si>
  <si>
    <t>Xem tour và chuyến khởi hành</t>
  </si>
  <si>
    <t>Yêu cầu trái phép bị từ chối, dữ liệu hồ sơ không thay đổi</t>
  </si>
  <si>
    <t>01 tour công khai có lịch khởi hành và số chỗ</t>
  </si>
  <si>
    <t>Yêu cầu hợp lệ trả về 200; yêu cầu thiếu JWT và từ trang khác nguồn trả về 401. Họ tên không thay đổi</t>
  </si>
  <si>
    <t xml:space="preserve">1.  Mở chi tiết tour 
2.  Xem lịch khởi hành và số chỗ còn lại </t>
  </si>
  <si>
    <t>Backend từ chối yêu cầu không có JWT hợp lệ</t>
  </si>
  <si>
    <t>Tên, lịch khởi hành, mức giá và tình trạng chỗ hiển thị theo dữ liệu của tour; chuyến hết chỗ không được đặt</t>
  </si>
  <si>
    <t xml:space="preserve">Trang chi tiết tour hiển thị chính xác dữ liệu của tour đã chọn; Không thể đặt chuyến hết chỗ </t>
  </si>
  <si>
    <t>Kiểm tra phân quyền và quyền sở hữu dữ liệu</t>
  </si>
  <si>
    <t>SEC06</t>
  </si>
  <si>
    <t>Kiểm tra người dùng không thể truy cập dữ liệu hoặc chức năng ngoài quyền hạn</t>
  </si>
  <si>
    <t>UC-04 – Xem trang thông tin &amp; chính sách</t>
  </si>
  <si>
    <t>TC006</t>
  </si>
  <si>
    <t>Đọc bài viết/chính sách</t>
  </si>
  <si>
    <t>Có ít nhất 01 bài viết/chính sách được công khai</t>
  </si>
  <si>
    <t xml:space="preserve">1.  Mở mục thông tin/chính sách 
2. Chọn một bài viết </t>
  </si>
  <si>
    <t>Hiển thị tiêu đề, nội dung của bài đã chọn; không hiển thị bài chưa công khai</t>
  </si>
  <si>
    <t>Mở được bài viết và chính sách công khai; nội dung hiển thị đầy đủ, không xuất hiện bài chưa công khai</t>
  </si>
  <si>
    <t>1. Đăng nhập tài khoản khách hàng, thử truy cập trang quản trị và kiểm tra quyền truy cập
2. Đăng nhập tài khoản A, mở Đơn của tôi và lấy mã đơn 
3. Đăng xuất A, đăng nhập tài khoản B và lấy JWT của B
4. Dùng PowerShell gửi yêu cầu GET /api/orders/my/ma-don với JWT của B
5. Kiểm tra mã phản hồi và dữ liệu trả về</t>
  </si>
  <si>
    <t>Khách hàng không được truy cập chức năng quản trị; tài khoản B không xem được đơn của A</t>
  </si>
  <si>
    <t>Tài khoản khách hàng không truy cập được chức năng quản trị. Khi dùng JWT của tài khoản B để truy cập đơn của tài khoản A, API trả về 404, không hiển thị dữ liệu đơn</t>
  </si>
  <si>
    <t>Backend kiểm tra quyền truy cập theo vai trò và quyền sở hữu đơn đặt chỗ</t>
  </si>
  <si>
    <t>UC-05 – Đăng ký tài khoản + xác thực email + đăng ký bằng Google</t>
  </si>
  <si>
    <t>TC007</t>
  </si>
  <si>
    <t>Đăng ký &amp; Xác thực email với thông tin hợp lệ</t>
  </si>
  <si>
    <t>TK : abc@gmail.com
MK : Abc123456@</t>
  </si>
  <si>
    <t>Kiểm tra tệp tải lên</t>
  </si>
  <si>
    <t>SEC07</t>
  </si>
  <si>
    <t xml:space="preserve">1.  Mở Đăng ký 
2. Nhập email đã tồn tại và các trường còn lại hợp lệ 
3.  Gửi biểu mẫu 
4.  Mở email xác thực 
5.  Sử dụng mã OTP được gửi </t>
  </si>
  <si>
    <t xml:space="preserve">Kiểm tra hệ thống có từ chối tệp giả ảnh khi tải lên </t>
  </si>
  <si>
    <t>Hệ thống tạo tài khoản theo trạng thái chưa xác thực, thông báo bước xác thực email, xác thực thành công; Thông tin tài khoản được lưu vào database</t>
  </si>
  <si>
    <t>Ảnh hợp lệ .jpg; tệp fake.jpg chứa văn bản, khai báo MIME image/jpeg</t>
  </si>
  <si>
    <t>Hệ thống tiếp nhận thông tin đăng ký hợp lệ, tạo tài khoản và hệ thống xác thực email thành công và cập nhật trạng thái tài khoản</t>
  </si>
  <si>
    <t>1. Đăng nhập Admin và tải ảnh JPG hợp lệ
2. Kiểm tra phản hồi API upload
3. Tạo tệp văn bản fake.jpg
4. Dùng PowerShell gửi tệp giả ảnh đến API với MIME image/jpeg
5. Kiểm tra mã HTTP và dữ liệu trả về.</t>
  </si>
  <si>
    <t>Ảnh JPG hợp lệ được chấp nhận; tệp giả ảnh bị từ chối và không được lưu</t>
  </si>
  <si>
    <t>Ảnh JPG hợp lệ trả về 201 Created. Tệp giả JPG cũng trả về 201 Created, API cung cấp tên tệp và URL lưu trữ</t>
  </si>
  <si>
    <t>Backend chưa xác minh nội dung thực của tệp, chỉ kiểm tra MIME khai báo</t>
  </si>
  <si>
    <t>TC008</t>
  </si>
  <si>
    <t>Đăng ký &amp; Xác thực email với mã OTP hết hạn hoặc sai</t>
  </si>
  <si>
    <t>Kiểm tra giới hạn đăng nhập và ghi vết</t>
  </si>
  <si>
    <t>SEC08</t>
  </si>
  <si>
    <t>Tài khoản chưa xác thực; mã giả hoặc liên kết hết hạn</t>
  </si>
  <si>
    <t>Kiểm tra cơ chế khóa tạm thời khi đăng nhập sai nhiều lần và ghi nhận sự kiện bảo mật</t>
  </si>
  <si>
    <t>1.  Mở Đăng ký 
2. Nhập email đã tồn tại và các trường còn lại hợp lệ 
3.  Gửi biểu mẫu 
4.  Nhập mã OTP sai/hết hạn
5.  Kiểm tra trạng thái tài khoản</t>
  </si>
  <si>
    <t>Email tài khoản thử nghiệm; mật khẩu sai SaiMatKhau@123; mật khẩu đúng</t>
  </si>
  <si>
    <t>Không xác thực tài khoản; thông báo mã không hợp lệ/hết hạn; không tạo tài khoản mới; Không lưu vào database</t>
  </si>
  <si>
    <t>Hệ thống thông báo Mã xác thực không đúng hoặc đã hết hạn; Không tạo tài khoản mới nhưng vẫn lưu vào Database</t>
  </si>
  <si>
    <t>1. Đăng nhập sai nhiều lần
2. Kiểm tra thông báo khóa tài khoản
3. Mở phpMyAdmin =&gt; tmdt =&gt; loginattempt
4. Đối chiếu email, trạng thái và thời gian đăng nhập</t>
  </si>
  <si>
    <t>Hệ thống khóa tạm thời khi đăng nhập sai nhiều lần và lưu lịch sử đăng nhập</t>
  </si>
  <si>
    <t>API trả về LOCKED, thông báo khóa 15 phút. Bảng loginattempt ghi nhận các lần đăng nhập thất bại và thành công, kèm IP và thời gian</t>
  </si>
  <si>
    <t>Hệ thống có cơ chế giới hạn đăng nhập và lưu bản ghi đăng nhập trong database</t>
  </si>
  <si>
    <t>TC009</t>
  </si>
  <si>
    <t>Từ chối email đã đăng ký</t>
  </si>
  <si>
    <t>Kiểm tra an toàn giao dịch thanh toán</t>
  </si>
  <si>
    <t>Email đã gắn với tài khoản hiện có "TK : abc@gmail.com
MK : Abc123456@"</t>
  </si>
  <si>
    <t>SEC09</t>
  </si>
  <si>
    <t xml:space="preserve">1.  Mở Đăng ký 
2. Nhập email đã tồn tại và các trường còn lại hợp lệ 
3.  Gửi biểu mẫu </t>
  </si>
  <si>
    <t>Xác minh hệ thống sử dụng VNPAY Sandbox và không lưu dữ liệu thẻ thanh toán nhạy cảm</t>
  </si>
  <si>
    <t>Không tạo tài khoản trùng; hiển thị thông báo không hợp lệ và không làm thay đổi tài khoản hiện có</t>
  </si>
  <si>
    <t>Đơn đặt chỗ hợp lệ, thông tin thanh toán VNPAY Sandbox</t>
  </si>
  <si>
    <t>Hệ thống thông báo tài khoản đã được sử dụng; Không tạo tài khoản mới ; Không làm thay đổi tài khoản hiện có</t>
  </si>
  <si>
    <t>1. Tạo đơn đặt chỗ và chọn thanh toán VNPAY
2. Kiểm tra chuyển hướng đến trang VNPAY Sandbox
3. Thực hiện giao dịch bằng thông tin thanh toán thử nghiệm
4. Mở phpMyAdmin, kiểm tra các bản ghi trong bảng payment
5. Truy vấn cấu trúc database để tìm các trường liên quan đến số thẻ, CVV, CVC, PIN và OTP
6. Đối chiếu dữ liệu thanh toán với mã nguồn cấu hình VNPAY.</t>
  </si>
  <si>
    <t>Thanh toán qua VNPAY Sandbox; không lưu số thẻ, CVV, PIN hoặc OTP trong database</t>
  </si>
  <si>
    <t>Hệ thống sử dụng VNPAY Sandbox; không phát hiện trường lưu dữ liệu thẻ nhạy cảm trong cấu trúc database đã kiểm tra</t>
  </si>
  <si>
    <t>TC010</t>
  </si>
  <si>
    <t>Đăng ký bằng tài khoản Google hợp lệ</t>
  </si>
  <si>
    <t>Tài khoản Google</t>
  </si>
  <si>
    <t>Kiểm tra sao lưu, phục hồi và chính sách dữ liệu cá nhân</t>
  </si>
  <si>
    <t>1.  Mở Đăng ký 
2.  Nhấn "Tiếp tục với Google"
3.  Chọn tài khoản Google chưa đăng ký trên hệ thống 
4.  Đồng ý cấp quyền</t>
  </si>
  <si>
    <t>SEC10</t>
  </si>
  <si>
    <t>Hệ thống xác thực Google thành công, tạo tài khoản mới và đăng nhập người dùng. Thông tin tài khoản được lưu vào database</t>
  </si>
  <si>
    <t>Kiểm tra khả năng sao lưu, phục hồi dữ liệu và việc tuân thủ chính sách bảo vệ thông tin cá nhân của khách hàng</t>
  </si>
  <si>
    <t>Hệ thống mở trang chọn tài khoản Google. Sau khi chọn tài khoản hợp lệ, hệ thống chuyển về trang chủ, đăng ký thành công và tạo tài khoản mới trong database</t>
  </si>
  <si>
    <t>Database, tệp sao lưu SQL, database phục hồi thử nghiệm và tài khoản khách hàng</t>
  </si>
  <si>
    <t>1. Sao lưu database và phục hồi vào database thử nghiệm
2. Đối chiếu dữ liệu trước và sau phục hồi
3. Kiểm tra điều khoản, chính sách quyền riêng tư và thông tin tài khoản</t>
  </si>
  <si>
    <t>Dữ liệu được phục hồi đầy đủ; thông tin cá nhân được bảo vệ và có chính sách sử dụng rõ ràng</t>
  </si>
  <si>
    <t>Quá trình sao lưu và phục hồi diễn ra bình thường, dữ liệu được giữ nguyên. Các chức năng liên quan đến thông tin cá nhân hoạt động đúng, không phát hiện bất thường trong phạm vi kiểm thử</t>
  </si>
  <si>
    <t>TC011</t>
  </si>
  <si>
    <t>Từ chối mật khẩu không đạt quy tắc</t>
  </si>
  <si>
    <t>TK : abcdef@gmail.com
MK : A@</t>
  </si>
  <si>
    <t>1.  Mở Đăng ký 
2.  Nhập email mới và mật khẩu không đạt quy tắc 
3.  Gửi biểu mẫu</t>
  </si>
  <si>
    <t>Từ chối đăng ký; không tạo tài khoản với mật khẩu không hợp lệ; thông báo chỉ rõ yêu cầu cần sửa</t>
  </si>
  <si>
    <t>Hệ thống từ chối đăng ký; Thông báo chỉ rõ yêu cầu cần sửa; Không tạo tài khoản mới</t>
  </si>
  <si>
    <t>UC-06 – Đăng nhập/đăng xuất</t>
  </si>
  <si>
    <t>TC012</t>
  </si>
  <si>
    <t>Đăng nhập bằng tài khoản hợp lệ</t>
  </si>
  <si>
    <t>Tài khoản đã xác thực, chưa khóa; mật khẩu đúng</t>
  </si>
  <si>
    <t xml:space="preserve">1.  Mở Đăng nhập 
2.  Nhập email và mật khẩu đúng 
3.  Gửi biểu mẫu </t>
  </si>
  <si>
    <t>Đăng nhập thành công, phiên/token được tạo; trang yêu cầu đăng nhập có thể truy cập</t>
  </si>
  <si>
    <t>Đăng nhập thành công; Hệ thống chuyển đến trang chủ</t>
  </si>
  <si>
    <t>TC013</t>
  </si>
  <si>
    <t xml:space="preserve">Đăng nhập bằng tài khoản Google </t>
  </si>
  <si>
    <t xml:space="preserve">1.  Mở Đăng nhập 
2.  Nhấn “Tiếp tục với Google”
3.  Chọn tài khoản Google  </t>
  </si>
  <si>
    <t>Hệ thống xác thực thành công, đăng nhập vào đúng tài khoản hiện có và chuyển người dùng đến trang chủ hoặc trang tài khoản. Không tạo tài khoản trùng lặp</t>
  </si>
  <si>
    <t>Đăng nhập bằng Google thành công; Hệ thống chuyển đến trang chủ; Không tạo tài khoản trùng lặp</t>
  </si>
  <si>
    <t>TC014</t>
  </si>
  <si>
    <t>Khóa khi sai liên tiếp</t>
  </si>
  <si>
    <t>Tài khoản thử nghiệm chưa bị khóa; bộ đếm sai được đặt lại</t>
  </si>
  <si>
    <t xml:space="preserve">1.  Nhập sai mật khẩu liên tiếp 4 lần 
2.  Nhập sai lần thứ 5 
3.  Thử đăng nhập bằng mật khẩu đúng trong thời gian khóa </t>
  </si>
  <si>
    <t>Tài khoản bị khóa theo quy tắc sau lần sai thứ 5; lần thử tiếp theo bị từ chối trong thời gian khóa; có ghi nhận sự kiện</t>
  </si>
  <si>
    <t>Tài khoản bị khóa tạm thời. Trong thời gian khóa, hệ thống từ chối đăng nhập kể cả khi nhập đúng mật khẩu.</t>
  </si>
  <si>
    <t>TC015</t>
  </si>
  <si>
    <t>Đăng xuất và chặn truy cập phiên cũ</t>
  </si>
  <si>
    <t>Tài khoản đã đăng nhập</t>
  </si>
  <si>
    <t xml:space="preserve">1.  Chọn Đăng xuất 
2.  Mở lại trang cá nhân 
3.  Gửi yêu cầu API yêu cầu xác thực khi không còn phiên hợp lệ </t>
  </si>
  <si>
    <t>Giao diện trở về trạng thái khách; API được bảo vệ từ chối yêu cầu thiếu/không hợp lệ token</t>
  </si>
  <si>
    <t>Sau khi đăng xuất, giao diện trở về trạng thái khách. Tuy nhiên, khi gửi lại yêu cầu GET /api/auth/me bằng token đã lưu trước khi đăng xuất, API vẫn trả về 200 OK và thông tin tài khoản</t>
  </si>
  <si>
    <t>UC-07 – Quản lý hồ sơ cá nhân</t>
  </si>
  <si>
    <t>TC016</t>
  </si>
  <si>
    <t>Cập nhật thông tin cá nhân</t>
  </si>
  <si>
    <t>Tài khoản khách hàng đã đăng nhập; tên mới hợp lệ</t>
  </si>
  <si>
    <t xml:space="preserve">1.  Mở Hồ sơ 
2.  Thay đổi tên hiển thị 
3.  Lưu và tải lại trang </t>
  </si>
  <si>
    <t>Thông tin mới được lưu cho đúng tài khoản và vẫn hiển thị sau khi tải lại</t>
  </si>
  <si>
    <t>Thông tin cá nhân được cập nhật thành công. Sau khi tải lại trang, hệ thống hiển thị thông tin mới</t>
  </si>
  <si>
    <t>UC-08 – Quản lý danh sách yêu thích</t>
  </si>
  <si>
    <t>TC017</t>
  </si>
  <si>
    <t>Thêm và bỏ dịch vụ yêu thích</t>
  </si>
  <si>
    <t>Tài khoản đã đăng nhập; 01 dịch vụ công khai</t>
  </si>
  <si>
    <t xml:space="preserve">1.  Mở chi tiết dịch vụ 
2.  Chọn Yêu thích 
3.  Mở danh sách yêu thích rồi bỏ chọn </t>
  </si>
  <si>
    <t>Dịch vụ xuất hiện trong danh sách sau khi thêm và biến mất sau khi bỏ; không tạo bản ghi trùng</t>
  </si>
  <si>
    <t>Dịch vụ được thêm vào danh sách yêu thích. Sau khi bỏ yêu thích, dịch vụ không còn xuất hiện trong danh sách</t>
  </si>
  <si>
    <t>UC-09 – Đặt homestay</t>
  </si>
  <si>
    <t>TC018</t>
  </si>
  <si>
    <t>Đặt phòng trong khoảng trống</t>
  </si>
  <si>
    <t xml:space="preserve">Homestay A còn chỗ; nhận 10/10/2026, trả 12/10/2026; 2 khách </t>
  </si>
  <si>
    <t xml:space="preserve">1.  Chọn homestay A và khoảng ngày còn trống 
2.  Nhập 2 khách, thông tin liên hệ 
3.  Xác nhận đặt </t>
  </si>
  <si>
    <t>Tạo đúng một đơn với ngày nhận/trả và số khách đã chọn; tổng tiền tính theo 2 đêm và bảng giá áp dụng; lịch giữ chỗ được cập nhật</t>
  </si>
  <si>
    <t>Hệ thống tạo đơn đặt homestay thành công với khoảng ngày còn phòng, lưu chính xác thông tin khách và số lượng phòng đã đặt</t>
  </si>
  <si>
    <t>TC019</t>
  </si>
  <si>
    <t>Từ chối đặt phòng ngày trả trước ngày nhận</t>
  </si>
  <si>
    <t>Ngày nhận 12/10/2026; ngày trả 10/10/2026</t>
  </si>
  <si>
    <t xml:space="preserve">1.  Mở biểu mẫu đặt homestay 
2.  Nhập ngày trả trước ngày nhận 
3.  Gửi yêu cầu </t>
  </si>
  <si>
    <t>Hệ thống từ chối khoảng ngày không hợp lệ; không tạo đơn và không giữ chỗ</t>
  </si>
  <si>
    <t>Hệ thống từ chối yêu cầu có ngày trả trước ngày nhận và hiển thị thông báo ngày đặt không hợp lệ</t>
  </si>
  <si>
    <t>TC020</t>
  </si>
  <si>
    <t>Từ chối đặt trùng thời gian</t>
  </si>
  <si>
    <t>Homestay A đã có đơn giữ chỗ từ 10 đến 12/10/2026</t>
  </si>
  <si>
    <t>1. Đăng nhập tài khoản A, chọn Homestay A và đặt phòng từ 10–12/10/2026
2. Đăng nhập tài khoản B, chọn đúng phòng đã giữ và thử đặt từ 11–12/10/2026</t>
  </si>
  <si>
    <t>Yêu cầu đặt trùng bị từ chối; không tạo hai đơn giữ cùng tài nguyên và khoảng thời gian</t>
  </si>
  <si>
    <t>Hệ thống không cho phép hai đơn cùng giữ một phòng homestay trong khoảng thời gian bị trùng</t>
  </si>
  <si>
    <t>TC021</t>
  </si>
  <si>
    <t>Đặt chỗ không đăng nhập</t>
  </si>
  <si>
    <t>Khách chưa đăng nhập; homestay còn chỗ; email và số điện thoại hợp lệ</t>
  </si>
  <si>
    <t xml:space="preserve">1.  Mở trang đặt homestay ở chế độ khách 
2.  Điền ngày, số khách, thông tin liên hệ 
3.  Gửi đặt chỗ </t>
  </si>
  <si>
    <t>Hệ thống tạo đơn gắn thông tin liên hệ và cấp mã tra cứu; không tự tạo phiên đăng nhập</t>
  </si>
  <si>
    <t>Khách chưa đăng nhập vẫn có thể tạo đơn đặt homestay hợp lệ; hệ thống cấp mã đơn và thông tin tra cứu</t>
  </si>
  <si>
    <t>UC-10 – Đặt tour</t>
  </si>
  <si>
    <t>TC022</t>
  </si>
  <si>
    <t>Đặt tour còn chỗ</t>
  </si>
  <si>
    <t>Chuyến tour A còn ≥2 chỗ; 2 người lớn; thông tin liên hệ hợp lệ</t>
  </si>
  <si>
    <t xml:space="preserve">1.  Chọn chuyến khởi hành còn chỗ 
2.  Nhập 2 người lớn 
3.  Xác nhận đặt tour </t>
  </si>
  <si>
    <t>Tạo đơn đúng chuyến, số khách và giá tương ứng; số chỗ khả dụng được cập nhật theo quy tắc giữ chỗ</t>
  </si>
  <si>
    <t>Hệ thống tạo đơn đặt tour thành công cho 2 người lớn, ghi nhận đúng chuyến khởi hành và số chỗ đã đặt</t>
  </si>
  <si>
    <t>TC023</t>
  </si>
  <si>
    <t>Từ chối vượt số chỗ</t>
  </si>
  <si>
    <t>Chuyến chỉ còn 1 chỗ; yêu cầu 2 người lớn</t>
  </si>
  <si>
    <t xml:space="preserve">1.  Chọn chuyến chỉ còn 1 chỗ 
2.  Nhập 2 người lớn 
3.  Gửi đặt tour </t>
  </si>
  <si>
    <t>Backend từ chối đặt vượt sức chứa; Không tạo đơn hợp lệ và không làm số chỗ còn lại âm</t>
  </si>
  <si>
    <t>Khi chuyến chỉ còn 1 chỗ, hệ thống từ chối yêu cầu đặt 2 chỗ và không làm tăng số chỗ đã đặt trong Database</t>
  </si>
  <si>
    <t>TC024</t>
  </si>
  <si>
    <t>Tính giá theo loại khách</t>
  </si>
  <si>
    <t>Tour có mức giá người lớn/trẻ em; chọn 2 người lớn và 1 trẻ em</t>
  </si>
  <si>
    <t xml:space="preserve">1.  Chọn chuyến phù hợp 
2.  Nhập 2 người lớn và 1 trẻ em 
3.  Kiểm tra tổng tiền trước khi xác nhận </t>
  </si>
  <si>
    <t>Tổng tiền bằng 2 × giá người lớn + 1 × giá trẻ em theo chính sách tour; số khách và tiền lưu trong đơn khớp hiển thị</t>
  </si>
  <si>
    <t>Hệ thống tính tổng tiền đúng theo số lượng người lớn và trẻ em cùng mức giá tương ứng; tổng tiền được hiển thị trước khi xác nhận</t>
  </si>
  <si>
    <t>UC-11 – Thanh toán &amp; đặt cọc</t>
  </si>
  <si>
    <t>TC025</t>
  </si>
  <si>
    <t>Tạo đơn thanh toán COD</t>
  </si>
  <si>
    <t xml:space="preserve">1.  Tạo đơn hợp lệ 
2.  Chọn COD
3.  Xác nhận và xem trạng thái </t>
  </si>
  <si>
    <t>Đơn được ghi nhận theo trạng thái chờ thanh toán/chờ xử lý tương ứng; không đánh dấu đã thanh toán/cọc khi chưa nhận tiền</t>
  </si>
  <si>
    <t>Hệ thống tạo đơn và chuyển trạng thái sang “Đã cọc”. Lịch sử thanh toán ghi nhận khoản cọc với trạng thái SUCCESS mặc dù khách chưa giao tiền</t>
  </si>
  <si>
    <t>TC026</t>
  </si>
  <si>
    <t>Thanh toán VNPAY Sandbox thành công</t>
  </si>
  <si>
    <t>Đơn chờ thanh toán; cấu hình VNPAY Sandbox; tài khoản thử nghiệm</t>
  </si>
  <si>
    <t xml:space="preserve">1.  Chọn VNPAY 
2.  Thanh toán thành công trên Sandbox 
3.  Đợi backend xác minh thông báo và tra cứu đơn </t>
  </si>
  <si>
    <t>Chỉ sau khi backend xác minh chữ ký, mã đơn, số tiền và trạng thái giao dịch hợp lệ, đơn được cập nhật thanh toán đúng một lần</t>
  </si>
  <si>
    <t>Thanh toán VNPAY thực hiện thành công. Đơn hàng được ghi nhận và trạng thái thanh toán được cập nhật đúng.</t>
  </si>
  <si>
    <t>Thảo</t>
  </si>
  <si>
    <t>TC027</t>
  </si>
  <si>
    <t>Hủy giao dịch trên cổng</t>
  </si>
  <si>
    <t>Đơn chờ thanh toán; giao dịch VNPAY Sandbox</t>
  </si>
  <si>
    <t xml:space="preserve">1.  Chuyển sang VNPAY 
2.  Chọn hủy/thoát thanh toán 
3.  Trở về website và kiểm tra đơn </t>
  </si>
  <si>
    <t>Đơn không chuyển sang đã thanh toán; giao diện phản ánh giao dịch chưa thành công và cho phép thao tác tiếp theo theo quy tắc</t>
  </si>
  <si>
    <t>Hủy giao dịch VNPAY thành công. Đơn hàng không được ghi nhận là đã thanh toán.</t>
  </si>
  <si>
    <t>TC028</t>
  </si>
  <si>
    <t>Không tin phản hồi trình duyệt giả</t>
  </si>
  <si>
    <t>Đơn chưa thanh toán; phản hồi URL tự sửa trạng thái/mã giao dịch</t>
  </si>
  <si>
    <t xml:space="preserve">1.  Tạo đơn chờ thanh toán 
2.  Thay đổi tham số kết quả trả về ở trình duyệt trong môi trường thử nghiệm 
3.  Mở lại trang đơn </t>
  </si>
  <si>
    <t>Backend không đánh dấu đã thanh toán khi chưa có xác minh hợp lệ từ cổng; ghi nhận hoặc từ chối phản hồi sai chữ ký</t>
  </si>
  <si>
    <t>Giao dịch với thông tin không hợp lệ không được hệ thống chấp nhận và không cập nhật thanh toán thành công.</t>
  </si>
  <si>
    <t>TC029</t>
  </si>
  <si>
    <t>Không xử lý IPN trùng</t>
  </si>
  <si>
    <t>Đơn đã nhận thông báo thanh toán hợp lệ; bản sao cùng mã giao dịch</t>
  </si>
  <si>
    <t xml:space="preserve">1.  Hoàn tất một thanh toán Sandbox 
2.  Gửi lại thông báo hợp lệ cùng mã giao dịch trong môi trường thử nghiệm 
3.  Kiểm tra đơn và giao dịch </t>
  </si>
  <si>
    <t>Không cộng tiền, tạo giao dịch hoặc chuyển trạng thái nhiều lần cho cùng một giao dịch; phản hồi xử lý trùng theo thiết kế</t>
  </si>
  <si>
    <t>Thực hiện lại giao dịch không tạo thêm đơn hàng hoặc ghi nhận thanh toán trùng.</t>
  </si>
  <si>
    <t>UC-12 – Khuyến mại</t>
  </si>
  <si>
    <t>TC030</t>
  </si>
  <si>
    <t>Áp dụng mã giảm giá hợp lệ</t>
  </si>
  <si>
    <t>Mã đang hiệu lực, đáp ứng giá trị đơn và điều kiện áp dụng</t>
  </si>
  <si>
    <t xml:space="preserve">1.  Tạo đơn đáp ứng điều kiện 
2.  Nhập mã hợp lệ 
3.  Kiểm tra số tiền trước thanh toán </t>
  </si>
  <si>
    <t>Hệ thống tính đúng số tiền giảm theo quy tắc và giới hạn của mã; tổng thanh toán không âm và lưu khớp đơn</t>
  </si>
  <si>
    <t>Nhập mã giảm giá hợp lệ, hệ thống chấp nhận mã và tính số tiền giảm đúng.</t>
  </si>
  <si>
    <t>UC-13 – Tra cứu đơn</t>
  </si>
  <si>
    <t>TC031</t>
  </si>
  <si>
    <t>Tra cứu đơn của khách đăng nhập</t>
  </si>
  <si>
    <t>Tài khoản A có đơn A1; tài khoản B có đơn B1</t>
  </si>
  <si>
    <t xml:space="preserve">1.  Đăng nhập A và mở danh sách đơn 
2.  Thử truy cập chi tiết B1. bằng URL/API </t>
  </si>
  <si>
    <t>A xem được đơn A1; backend từ chối truy cập B1 dù biết mã/ID; không lộ dữ liệu khách B</t>
  </si>
  <si>
    <t>Khách hàng chỉ xem được các đơn hàng thuộc tài khoản của mình, không xem được đơn của tài khoản khác.</t>
  </si>
  <si>
    <t>TC032</t>
  </si>
  <si>
    <t>Tra cứu đơn khách bằng mã và thông tin xác minh</t>
  </si>
  <si>
    <t>Đơn guest có mã tra cứu và PIN/email tương ứng</t>
  </si>
  <si>
    <t xml:space="preserve">1.  Mở trang tra cứu không đăng nhập 
2.  Nhập mã đơn và PIN/email hợp lệ 
3.  Thử lại với PIN/email sai </t>
  </si>
  <si>
    <t>Thông tin đơn chỉ hiển thị khi dữ liệu xác minh khớp; thông tin sai không làm lộ chi tiết đơn</t>
  </si>
  <si>
    <t>Nhập thông tin tra cứu hợp lệ, hệ thống hiển thị đúng thông tin đơn hàng.</t>
  </si>
  <si>
    <t>UC-14 – Hủy đơn</t>
  </si>
  <si>
    <t>TC033</t>
  </si>
  <si>
    <t>Hủy đơn trong điều kiện cho phép</t>
  </si>
  <si>
    <t>Đơn thuộc tài khoản A, còn trong thời hạn được hủy</t>
  </si>
  <si>
    <t xml:space="preserve">1.  Đăng nhập A, mở đơn 
2.  Chọn Hủy và xác nhận 
3.  Tải lại đơn và kiểm tra tình trạng giữ chỗ </t>
  </si>
  <si>
    <t>Đơn chuyển trạng thái hủy theo chính sách; giữ chỗ được giải phóng nếu phù hợp; không tạo hoàn tiền trái quy tắc</t>
  </si>
  <si>
    <t>Đơn hàng đủ điều kiện được hủy thành công và trạng thái đơn được cập nhật thành đã hủy.</t>
  </si>
  <si>
    <t>TC034</t>
  </si>
  <si>
    <t>Từ chối hủy đơn không đủ điều kiện</t>
  </si>
  <si>
    <t>Đơn đã hoàn thành/đã hủy hoặc quá hạn hủy</t>
  </si>
  <si>
    <t xml:space="preserve">1.  Mở đơn không đủ điều kiện 
2.  Thử hủy qua giao diện và API </t>
  </si>
  <si>
    <t>Backend từ chối chuyển trạng thái không hợp lệ; đơn và giao dịch không bị thay đổi</t>
  </si>
  <si>
    <t>Đơn hàng không đủ điều kiện không thể hủy; hệ thống hiển thị thông báo phù hợp.</t>
  </si>
  <si>
    <t>UC-15 – Đánh giá</t>
  </si>
  <si>
    <t>TC035</t>
  </si>
  <si>
    <t>Chỉ đánh giá đơn đủ điều kiện</t>
  </si>
  <si>
    <t>Tài khoản A có đơn đã hoàn thành và đơn chưa hoàn thành</t>
  </si>
  <si>
    <t xml:space="preserve">1.  Mở đơn đã hoàn thành, gửi đánh giá hợp lệ 
2.  Thử đánh giá đơn chưa hoàn thành </t>
  </si>
  <si>
    <t>Đánh giá hợp lệ gắn đúng đơn/dịch vụ; yêu cầu đánh giá đơn chưa đủ điều kiện bị từ chối</t>
  </si>
  <si>
    <t>Khách hàng có thể đánh giá đơn hàng hợp lệ; đánh giá được lưu và hiển thị theo quy định.</t>
  </si>
  <si>
    <t>UC-16 – Quản lý homestay</t>
  </si>
  <si>
    <t>TC036</t>
  </si>
  <si>
    <t>Admin thêm homestay hợp lệ</t>
  </si>
  <si>
    <t>Tài khoản quản trị được cấp quyền; thông tin homestay và ảnh hợp lệ</t>
  </si>
  <si>
    <t xml:space="preserve">1.  Đăng nhập quản trị 
2.  Mở quản lý homestay, nhập đủ trường bắt buộc 
3.  Lưu và mở lại danh sách </t>
  </si>
  <si>
    <t>Bản ghi mới được lưu đúng dữ liệu và hiển thị trong danh sách quản trị; dữ liệu sai bắt buộc bị từ chối</t>
  </si>
  <si>
    <t>Admin nhập đầy đủ thông tin và thêm Homestay thành công. Homestay mới xuất hiện trong danh sách.</t>
  </si>
  <si>
    <t>TC037</t>
  </si>
  <si>
    <t>Khách không thể sửa homestay</t>
  </si>
  <si>
    <t>Token tài khoản khách; ID homestay có thật</t>
  </si>
  <si>
    <t xml:space="preserve">1.  Đăng nhập tài khoản khách 
2.  Gửi yêu cầu cập nhật homestay trực tiếp đến API quản trị </t>
  </si>
  <si>
    <t>Backend từ chối yêu cầu thiếu vai trò phù hợp; dữ liệu homestay không thay đổi</t>
  </si>
  <si>
    <t>Tài khoản Customer không có quyền chỉnh sửa Homestay. Hệ thống từ chối thao tác truy cập/chỉnh sửa.</t>
  </si>
  <si>
    <t>UC-16 – Tải ảnh homestay</t>
  </si>
  <si>
    <t>TC038</t>
  </si>
  <si>
    <t>Từ chối tệp sai định dạng</t>
  </si>
  <si>
    <t>Tài khoản admin; tệp  txt đổi đuôi  jpg và ảnh vượt giới hạn cấu hình</t>
  </si>
  <si>
    <t xml:space="preserve">1.  Mở biểu mẫu thêm ảnh homestay 
2.  Tải tệp không hợp lệ, thử cả yêu cầu trực tiếp API 
3.  Kiểm tra phản hồi và thư mục lưu </t>
  </si>
  <si>
    <t>Backend từ chối tệp không hợp lệ theo kiểm tra loại/kích thước; không lưu tệp nguy hiểm vào thư mục thực thi; không tạo đường dẫn ảnh công khai</t>
  </si>
  <si>
    <t>Hệ thống từ chối file ảnh không hợp lệ và không lưu file vào hệ thống.</t>
  </si>
  <si>
    <t>UC-17 – Quản lý tour</t>
  </si>
  <si>
    <t>TC039</t>
  </si>
  <si>
    <t>Admin tạo chuyến tour</t>
  </si>
  <si>
    <t>Tài khoản quản trị; tour hợp lệ, lịch khởi hành và sức chứa &gt;0</t>
  </si>
  <si>
    <t xml:space="preserve">1.  Đăng nhập quản trị 
2.  Tạo/cập nhật chuyến với ngày và sức chứa hợp lệ 
3.  Mở lại chi tiết chuyến </t>
  </si>
  <si>
    <t>Lịch và sức chứa được lưu đúng, hiển thị trong quản trị và dữ liệu công khai theo trạng thái công bố</t>
  </si>
  <si>
    <t>Admin nhập thông tin hợp lệ và tạo Trip thành công. Trip xuất hiện trong danh sách.</t>
  </si>
  <si>
    <t>TC040</t>
  </si>
  <si>
    <t>Từ chối sức chứa không hợp lệ</t>
  </si>
  <si>
    <t>Chuyến tour thử nghiệm; sức chứa 0 hoặc âm</t>
  </si>
  <si>
    <t xml:space="preserve">1.  Mở biểu mẫu quản lý chuyến 
2.  Nhập sức chứa 0 hoặc âm 
3.  Gửi yêu cầu và kiểm tra dữ liệu </t>
  </si>
  <si>
    <t>Frontend/backend từ chối dữ liệu ngoài giới hạn; không tạo chuyến có sức chứa không hợp lệ</t>
  </si>
  <si>
    <t>Khi nhập sức chứa bằng 0 hoặc số âm, hệ thống hiển thị lỗi và không cho tạo Trip.</t>
  </si>
  <si>
    <t>UC-18 – Quản lý đơn</t>
  </si>
  <si>
    <t>TC041</t>
  </si>
  <si>
    <t>Admin xem và lọc đơn</t>
  </si>
  <si>
    <t>Có đơn ở ít nhất hai trạng thái; tài khoản quản trị hợp lệ</t>
  </si>
  <si>
    <t xml:space="preserve">1.  Đăng nhập quản trị 
2.  Mở danh sách đơn 
3.  Lọc theo trạng thái và mở chi tiết </t>
  </si>
  <si>
    <t>Danh sách trả đúng đơn theo bộ lọc; chi tiết khớp dữ liệu khách, dịch vụ, tổng tiền và trạng thái</t>
  </si>
  <si>
    <t>Admin sử dụng bộ lọc đơn hàng, hệ thống hiển thị đúng các đơn hàng theo điều kiện đã chọn.</t>
  </si>
  <si>
    <t>TC042</t>
  </si>
  <si>
    <t>Từ chối chuyển trạng thái sai</t>
  </si>
  <si>
    <t>Đơn đã hủy hoặc hoàn thành; tài khoản quản trị</t>
  </si>
  <si>
    <t xml:space="preserve">1.  Mở đơn đã kết thúc 
2.  Thử chuyển về trạng thái chờ thanh toán bằng API/quản trị </t>
  </si>
  <si>
    <t>Backend từ chối chuyển trạng thái trái quy tắc; giữ nguyên lịch sử giao dịch và trạng thái đơn</t>
  </si>
  <si>
    <t>Hệ thống không cho phép chuyển đơn hàng sang trạng thái không hợp lệ và hiển thị thông báo phù hợp.</t>
  </si>
  <si>
    <t>UC-19 – Người dùng &amp; quyền</t>
  </si>
  <si>
    <t>TC043</t>
  </si>
  <si>
    <t>Khách không vào API quản trị</t>
  </si>
  <si>
    <t>Tài khoản khách; API quản trị danh sách người dùng</t>
  </si>
  <si>
    <t xml:space="preserve">1.  Đăng nhập tài khoản khách 
2.  Mở URL quản trị và gọi trực tiếp API quản trị </t>
  </si>
  <si>
    <t>Giao diện không cấp quyền; backend trả lỗi xác thực/phân quyền; không trả danh sách người dùng</t>
  </si>
  <si>
    <t>Tài khoản Customer không thể truy cập khu vực quản trị Admin; hệ thống từ chối quyền truy cập.</t>
  </si>
  <si>
    <t>TC044</t>
  </si>
  <si>
    <t>Giới hạn quyền quản trị cấp cao</t>
  </si>
  <si>
    <t>Tài khoản ADMIN thường và SUPER_ADMIN nếu có cấu hình vai trò này</t>
  </si>
  <si>
    <t xml:space="preserve">1.  Đăng nhập ADMIN thường 
2.  Thử thao tác chỉ dành cho SUPER_ADMIN 
3.  Thực hiện cùng thao tác bằng SUPER_ADMIN </t>
  </si>
  <si>
    <t>ADMIN thường bị từ chối ở backend; SUPER_ADMIN thực hiện được trong phạm vi quyền được cấp; có ghi vết thay đổi</t>
  </si>
  <si>
    <t>UC-20 – Mã khuyến mại</t>
  </si>
  <si>
    <t>TC045</t>
  </si>
  <si>
    <t>Quản trị tạo mã hợp lệ</t>
  </si>
  <si>
    <t>Admin; mã mới, thời hạn và giới hạn sử dụng hợp lệ</t>
  </si>
  <si>
    <t xml:space="preserve">1.  Đăng nhập quản trị 
2.  Tạo mã với điều kiện áp dụng hợp lệ 
3.  Lưu và kiểm tra danh sách mã </t>
  </si>
  <si>
    <t>Mã được lưu đúng điều kiện và chỉ áp dụng cho đơn thỏa điều kiện đã cấu hình</t>
  </si>
  <si>
    <t>Admin tạo mã khuyến mãi hợp lệ thành công. Mã được lưu và có thể sử dụng khi đặt hàng.</t>
  </si>
  <si>
    <t>UC-21 – Kiểm duyệt đánh giá</t>
  </si>
  <si>
    <t>TC046</t>
  </si>
  <si>
    <t>Ẩn đánh giá không phù hợp</t>
  </si>
  <si>
    <t>Admin; đánh giá thử nghiệm đang hiển thị</t>
  </si>
  <si>
    <t xml:space="preserve">1.  Đăng nhập quản trị 
2.  Mở danh sách đánh giá 
3.  Thực hiện ẩn/kiểm duyệt đánh giá thử nghiệm </t>
  </si>
  <si>
    <t>Trạng thái kiểm duyệt được lưu; đánh giá bị ẩn không còn hiển thị công khai theo quy tắc</t>
  </si>
  <si>
    <t>Admin ẩn đánh giá thành công. Đánh giá đã ẩn không còn hiển thị công khai trên website.</t>
  </si>
  <si>
    <t>UC-22 – Báo cáo</t>
  </si>
  <si>
    <t>TC047</t>
  </si>
  <si>
    <t>Xem thống kê theo khoảng ngày</t>
  </si>
  <si>
    <t>Admin; có đơn thử nghiệm trong và ngoài khoảng ngày A–B</t>
  </si>
  <si>
    <t xml:space="preserve">1.  Mở báo cáo quản trị 
2.  Chọn khoảng A–B 
3.  Đối chiếu số đơn/doanh thu với dữ liệu mẫu </t>
  </si>
  <si>
    <t>Chỉ tổng hợp các bản ghi thỏa bộ lọc và quy tắc tính doanh thu; tổng số và số tiền khớp dữ liệu nguồn</t>
  </si>
  <si>
    <t>Hệ thống hiển thị báo cáo đúng theo khoảng thời gian đã chọn.</t>
  </si>
  <si>
    <t>UC-23 – Cấu hình &amp; nhật ký</t>
  </si>
  <si>
    <t>TC048</t>
  </si>
  <si>
    <t>Ghi vết thay đổi nhạy cảm</t>
  </si>
  <si>
    <t>Admin được cấp quyền; bản ghi cấu hình thử nghiệm</t>
  </si>
  <si>
    <t xml:space="preserve">1.  Đăng nhập quản trị 
2.  Thực hiện thao tác cấu hình được phép 
3.  Kiểm tra nhật ký nếu hệ thống có giao diện/nguồn log </t>
  </si>
  <si>
    <t>Thay đổi chỉ được lưu khi đủ quyền; nhật ký ghi nhận tác nhân, thời điểm, hành động và kết quả theo thiết kế</t>
  </si>
  <si>
    <t>Hệ thống ghi nhận hoạt động của Admin vào nhật ký hệ thống/Audit Log với thông tin tương ứng.</t>
  </si>
  <si>
    <t>UC-24 – Đăng nhập quản trị</t>
  </si>
  <si>
    <t>TC049</t>
  </si>
  <si>
    <t>Đăng nhập quản trị hợp lệ</t>
  </si>
  <si>
    <t>Tài khoản quản trị đang hoạt động; mật khẩu đúng</t>
  </si>
  <si>
    <t xml:space="preserve">1.  Mở trang đăng nhập quản trị 
2.  Nhập thông tin hợp lệ 
3.  Truy cập trang quản trị </t>
  </si>
  <si>
    <t>Hệ thống cấp phiên/token quản trị hợp lệ và hiển thị chức năng đúng vai trò; không dùng token khách thay thế</t>
  </si>
  <si>
    <t>Admin đăng nhập bằng tài khoản hợp lệ thành công và được chuyển đến trang quản trị.</t>
  </si>
  <si>
    <t>UC-24 – Đăng xuất quản trị</t>
  </si>
  <si>
    <t>TC050</t>
  </si>
  <si>
    <t>Đăng xuất và chặn API quản trị</t>
  </si>
  <si>
    <t>Tài khoản quản trị đã đăng nhập</t>
  </si>
  <si>
    <t xml:space="preserve">1.  Đăng xuất khỏi quản trị 
2.  Tải lại trang quản trị 
3.  Gọi API quản trị khi không còn phiên/token hợp lệ </t>
  </si>
  <si>
    <t>Không truy cập được dữ liệu quản trị sau đăng xuất theo cơ chế phiên/token thực tế; API từ chối yêu cầu không có xác thực hợp lệ</t>
  </si>
  <si>
    <t>Admin đăng xuất thành công. Sau khi đăng xuất, không thể truy cập lại khu vực Admin nếu chưa đăng nhập.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</si>
</sst>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i/>
      <sz val="22"/>
      <color theme="1"/>
      <name val="Arial Narrow"/>
    </font>
    <font>
      <sz val="10"/>
      <color theme="1"/>
      <name val="Arial"/>
    </font>
    <font>
      <sz val="10"/>
      <color theme="1"/>
      <name val="Arial"/>
      <scheme val="minor"/>
    </font>
    <font>
      <sz val="10"/>
      <color rgb="FF000000"/>
      <name val="Arial"/>
    </font>
    <font>
      <sz val="10"/>
      <color theme="1"/>
      <name val="Arial"/>
    </font>
    <font>
      <i/>
      <sz val="10"/>
      <color theme="1"/>
      <name val="Arial"/>
    </font>
    <font>
      <i/>
      <sz val="10"/>
      <color rgb="FF0000FF"/>
      <name val="Arial"/>
    </font>
    <font>
      <b/>
      <sz val="11"/>
      <color theme="1"/>
      <name val="Times New Roman"/>
    </font>
    <font>
      <b/>
      <sz val="10"/>
      <color theme="1"/>
      <name val="Times New Roman"/>
    </font>
    <font>
      <sz val="10"/>
      <name val="Arial"/>
    </font>
  </fonts>
  <fills count="4">
    <fill>
      <patternFill patternType="none"/>
    </fill>
    <fill>
      <patternFill patternType="gray125"/>
    </fill>
    <fill>
      <patternFill patternType="solid">
        <fgColor rgb="FF99CCFF"/>
        <bgColor rgb="FF99CCFF"/>
      </patternFill>
    </fill>
    <fill>
      <patternFill patternType="solid">
        <fgColor rgb="FFCCFFFF"/>
        <bgColor rgb="FFCCFFFF"/>
      </patternFill>
    </fill>
  </fills>
  <borders count="14">
    <border>
      <left/>
      <right/>
      <top/>
      <bottom/>
      <diagonal/>
    </border>
    <border>
      <left/>
      <right/>
      <top/>
      <bottom style="thin">
        <color rgb="FF000000"/>
      </bottom>
      <diagonal/>
    </border>
    <border>
      <left/>
      <right/>
      <top/>
      <bottom style="thin">
        <color rgb="FF000000"/>
      </bottom>
      <diagonal/>
    </border>
    <border>
      <left style="thin">
        <color rgb="FF000000"/>
      </left>
      <right/>
      <top/>
      <bottom/>
      <diagonal/>
    </border>
    <border>
      <left style="thin">
        <color rgb="FF000000"/>
      </left>
      <right style="thin">
        <color rgb="FF000000"/>
      </right>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7">
    <xf numFmtId="0" fontId="0" fillId="0" borderId="0" xfId="0"/>
    <xf numFmtId="0" fontId="1" fillId="2" borderId="1" xfId="0" applyFont="1" applyFill="1" applyBorder="1" applyAlignment="1">
      <alignment horizontal="left"/>
    </xf>
    <xf numFmtId="0" fontId="1" fillId="2" borderId="2" xfId="0" applyFont="1" applyFill="1" applyBorder="1" applyAlignment="1">
      <alignment horizontal="left"/>
    </xf>
    <xf numFmtId="0" fontId="1" fillId="2" borderId="2" xfId="0" applyFont="1" applyFill="1" applyBorder="1" applyAlignment="1">
      <alignment horizontal="center" vertical="center" wrapText="1"/>
    </xf>
    <xf numFmtId="0" fontId="2" fillId="2" borderId="2" xfId="0" applyFont="1" applyFill="1" applyBorder="1" applyAlignment="1">
      <alignment vertical="center" wrapText="1"/>
    </xf>
    <xf numFmtId="0" fontId="3" fillId="0" borderId="3" xfId="0" applyFont="1" applyBorder="1"/>
    <xf numFmtId="0" fontId="3" fillId="0" borderId="4" xfId="0" applyFont="1" applyBorder="1"/>
    <xf numFmtId="0" fontId="4" fillId="0" borderId="0" xfId="0" applyFont="1"/>
    <xf numFmtId="0" fontId="5" fillId="0" borderId="0" xfId="0" applyFont="1" applyAlignment="1">
      <alignment horizontal="center" vertical="center"/>
    </xf>
    <xf numFmtId="0" fontId="2" fillId="0" borderId="5" xfId="0" applyFont="1" applyBorder="1" applyAlignment="1">
      <alignment horizontal="center" vertical="center" wrapText="1"/>
    </xf>
    <xf numFmtId="0" fontId="5" fillId="0" borderId="0" xfId="0" applyFont="1" applyAlignment="1">
      <alignment horizontal="center" vertical="center" wrapText="1"/>
    </xf>
    <xf numFmtId="0" fontId="2" fillId="0" borderId="0" xfId="0" applyFont="1" applyAlignment="1">
      <alignment horizontal="center" vertical="center" wrapText="1"/>
    </xf>
    <xf numFmtId="0" fontId="2" fillId="0" borderId="5" xfId="0" applyFont="1" applyBorder="1" applyAlignment="1">
      <alignment vertical="center" wrapText="1"/>
    </xf>
    <xf numFmtId="0" fontId="2" fillId="0" borderId="0" xfId="0" applyFont="1" applyAlignment="1">
      <alignment vertical="center" wrapText="1"/>
    </xf>
    <xf numFmtId="0" fontId="6" fillId="0" borderId="6" xfId="0" applyFont="1" applyBorder="1" applyAlignment="1">
      <alignment horizontal="center" vertical="center" wrapText="1"/>
    </xf>
    <xf numFmtId="0" fontId="5" fillId="0" borderId="6" xfId="0" applyFont="1" applyBorder="1" applyAlignment="1">
      <alignment horizontal="center" vertical="center" wrapText="1"/>
    </xf>
    <xf numFmtId="0" fontId="7" fillId="0" borderId="0" xfId="0" applyFont="1" applyAlignment="1">
      <alignment horizontal="center" vertical="center"/>
    </xf>
    <xf numFmtId="0" fontId="7" fillId="0" borderId="0" xfId="0" applyFont="1" applyAlignment="1">
      <alignment horizontal="center" vertical="center" wrapText="1"/>
    </xf>
    <xf numFmtId="0" fontId="2" fillId="0" borderId="7" xfId="0" applyFont="1" applyBorder="1" applyAlignment="1">
      <alignment horizontal="center" vertical="center" wrapText="1"/>
    </xf>
    <xf numFmtId="0" fontId="2" fillId="0" borderId="7" xfId="0" applyFont="1" applyBorder="1" applyAlignment="1">
      <alignment vertical="center" wrapText="1"/>
    </xf>
    <xf numFmtId="0" fontId="8" fillId="0" borderId="0" xfId="0" applyFont="1"/>
    <xf numFmtId="0" fontId="4" fillId="0" borderId="6" xfId="0" applyFont="1" applyBorder="1" applyAlignment="1">
      <alignment vertical="center" wrapText="1"/>
    </xf>
    <xf numFmtId="0" fontId="2" fillId="0" borderId="6" xfId="0" applyFont="1" applyBorder="1" applyAlignment="1">
      <alignment vertical="center" wrapText="1"/>
    </xf>
    <xf numFmtId="0" fontId="3" fillId="0" borderId="0" xfId="0" applyFont="1" applyAlignment="1">
      <alignment horizontal="center" vertical="center" wrapText="1"/>
    </xf>
    <xf numFmtId="0" fontId="3" fillId="0" borderId="6" xfId="0" applyFont="1" applyBorder="1" applyAlignment="1">
      <alignment vertical="center" wrapText="1"/>
    </xf>
    <xf numFmtId="0" fontId="3" fillId="0" borderId="0" xfId="0" applyFont="1" applyAlignment="1">
      <alignment vertical="center" wrapText="1"/>
    </xf>
    <xf numFmtId="0" fontId="5" fillId="0" borderId="12" xfId="0" applyFont="1" applyBorder="1" applyAlignment="1">
      <alignment horizontal="center" vertical="center" wrapText="1"/>
    </xf>
    <xf numFmtId="0" fontId="3" fillId="0" borderId="13" xfId="0" applyFont="1" applyBorder="1" applyAlignment="1">
      <alignment vertical="center" wrapText="1"/>
    </xf>
    <xf numFmtId="0" fontId="2" fillId="0" borderId="6" xfId="0" applyFont="1" applyBorder="1" applyAlignment="1">
      <alignment horizontal="center" vertical="center" wrapText="1"/>
    </xf>
    <xf numFmtId="0" fontId="2" fillId="0" borderId="6" xfId="0" quotePrefix="1" applyFont="1" applyBorder="1" applyAlignment="1">
      <alignment vertical="center" wrapText="1"/>
    </xf>
    <xf numFmtId="0" fontId="3" fillId="0" borderId="6" xfId="0" applyFont="1" applyBorder="1"/>
    <xf numFmtId="0" fontId="8" fillId="3" borderId="9" xfId="0" applyFont="1" applyFill="1" applyBorder="1" applyAlignment="1">
      <alignment horizontal="center" vertical="center" wrapText="1"/>
    </xf>
    <xf numFmtId="0" fontId="10" fillId="0" borderId="11" xfId="0" applyFont="1" applyBorder="1"/>
    <xf numFmtId="0" fontId="8" fillId="3" borderId="8" xfId="0" applyFont="1" applyFill="1" applyBorder="1" applyAlignment="1">
      <alignment horizontal="center" vertical="center" wrapText="1"/>
    </xf>
    <xf numFmtId="0" fontId="10" fillId="0" borderId="10" xfId="0" applyFont="1" applyBorder="1"/>
    <xf numFmtId="0" fontId="9" fillId="3" borderId="8" xfId="0" applyFont="1" applyFill="1" applyBorder="1" applyAlignment="1">
      <alignment horizontal="center" vertical="center" wrapText="1"/>
    </xf>
    <xf numFmtId="0" fontId="8" fillId="3"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58"/>
  <sheetViews>
    <sheetView showGridLines="0" tabSelected="1" workbookViewId="0">
      <pane xSplit="3" ySplit="8" topLeftCell="D54" activePane="bottomRight" state="frozen"/>
      <selection pane="topRight" activeCell="D1" sqref="D1"/>
      <selection pane="bottomLeft" activeCell="A9" sqref="A9"/>
      <selection pane="bottomRight" activeCell="F16" sqref="F16"/>
    </sheetView>
  </sheetViews>
  <sheetFormatPr defaultColWidth="12.6640625" defaultRowHeight="15" customHeight="1" x14ac:dyDescent="0.25"/>
  <cols>
    <col min="1" max="1" width="2.21875" customWidth="1"/>
    <col min="2" max="2" width="11.109375" customWidth="1"/>
    <col min="3" max="3" width="11.33203125" customWidth="1"/>
    <col min="4" max="4" width="23.109375" customWidth="1"/>
    <col min="5" max="5" width="20.109375" customWidth="1"/>
    <col min="6" max="6" width="41.109375" customWidth="1"/>
    <col min="7" max="7" width="30.77734375" customWidth="1"/>
    <col min="8" max="8" width="29" customWidth="1"/>
    <col min="9" max="9" width="15" customWidth="1"/>
    <col min="10" max="10" width="10.33203125" customWidth="1"/>
    <col min="11" max="26" width="8.6640625" customWidth="1"/>
  </cols>
  <sheetData>
    <row r="1" spans="1:26" ht="28.2" x14ac:dyDescent="0.5">
      <c r="A1" s="1"/>
      <c r="B1" s="2"/>
      <c r="C1" s="2"/>
      <c r="D1" s="2"/>
      <c r="E1" s="2"/>
      <c r="F1" s="2"/>
      <c r="G1" s="4"/>
      <c r="H1" s="2"/>
      <c r="I1" s="2"/>
      <c r="J1" s="5"/>
    </row>
    <row r="2" spans="1:26" ht="13.2" x14ac:dyDescent="0.25">
      <c r="A2" s="7"/>
      <c r="B2" s="7"/>
      <c r="C2" s="8"/>
      <c r="D2" s="9"/>
      <c r="E2" s="11"/>
      <c r="F2" s="12"/>
      <c r="G2" s="13"/>
      <c r="H2" s="14" t="s">
        <v>0</v>
      </c>
      <c r="I2" s="15">
        <f>COUNTIF($I$9:$I$58,"Đạt")</f>
        <v>46</v>
      </c>
    </row>
    <row r="3" spans="1:26" ht="13.2" x14ac:dyDescent="0.25">
      <c r="A3" s="7"/>
      <c r="B3" s="7"/>
      <c r="C3" s="8"/>
      <c r="D3" s="11"/>
      <c r="E3" s="11"/>
      <c r="F3" s="13"/>
      <c r="G3" s="13"/>
      <c r="H3" s="14" t="s">
        <v>1</v>
      </c>
      <c r="I3" s="15">
        <f>COUNTIF($I$9:$I$58,"Không Đạt")</f>
        <v>3</v>
      </c>
    </row>
    <row r="4" spans="1:26" ht="13.2" x14ac:dyDescent="0.25">
      <c r="A4" s="7"/>
      <c r="B4" s="7"/>
      <c r="C4" s="16"/>
      <c r="D4" s="11"/>
      <c r="E4" s="11"/>
      <c r="F4" s="13"/>
      <c r="G4" s="13"/>
      <c r="H4" s="14" t="s">
        <v>2</v>
      </c>
      <c r="I4" s="15">
        <f>COUNTIF($I$9:$I$58,"Bị chặn")</f>
        <v>0</v>
      </c>
    </row>
    <row r="5" spans="1:26" ht="13.2" x14ac:dyDescent="0.25">
      <c r="A5" s="7"/>
      <c r="B5" s="7"/>
      <c r="C5" s="8"/>
      <c r="D5" s="11"/>
      <c r="E5" s="11"/>
      <c r="F5" s="13"/>
      <c r="G5" s="13"/>
      <c r="H5" s="14" t="s">
        <v>3</v>
      </c>
      <c r="I5" s="15">
        <f>COUNTIF($I$9:$I$58,"Chưa test")</f>
        <v>1</v>
      </c>
    </row>
    <row r="6" spans="1:26" ht="13.2" x14ac:dyDescent="0.25">
      <c r="A6" s="7"/>
      <c r="B6" s="7"/>
      <c r="C6" s="8"/>
      <c r="D6" s="18"/>
      <c r="E6" s="11"/>
      <c r="F6" s="19"/>
      <c r="G6" s="13"/>
      <c r="H6" s="14" t="s">
        <v>4</v>
      </c>
      <c r="I6" s="15">
        <f>COUNTA($C$9:$C$58)</f>
        <v>50</v>
      </c>
    </row>
    <row r="7" spans="1:26" ht="13.8" x14ac:dyDescent="0.25">
      <c r="A7" s="20"/>
      <c r="B7" s="35" t="s">
        <v>5</v>
      </c>
      <c r="C7" s="33" t="s">
        <v>6</v>
      </c>
      <c r="D7" s="36" t="s">
        <v>7</v>
      </c>
      <c r="E7" s="33" t="s">
        <v>8</v>
      </c>
      <c r="F7" s="36" t="s">
        <v>9</v>
      </c>
      <c r="G7" s="33" t="s">
        <v>10</v>
      </c>
      <c r="H7" s="33" t="s">
        <v>11</v>
      </c>
      <c r="I7" s="31" t="s">
        <v>12</v>
      </c>
      <c r="J7" s="33" t="s">
        <v>14</v>
      </c>
    </row>
    <row r="8" spans="1:26" ht="13.8" x14ac:dyDescent="0.25">
      <c r="A8" s="20"/>
      <c r="B8" s="34"/>
      <c r="C8" s="34"/>
      <c r="D8" s="34"/>
      <c r="E8" s="34"/>
      <c r="F8" s="34"/>
      <c r="G8" s="34"/>
      <c r="H8" s="34"/>
      <c r="I8" s="32"/>
      <c r="J8" s="34"/>
    </row>
    <row r="9" spans="1:26" ht="49.5" customHeight="1" x14ac:dyDescent="0.25">
      <c r="A9" s="21"/>
      <c r="B9" s="22" t="s">
        <v>15</v>
      </c>
      <c r="C9" s="22" t="s">
        <v>24</v>
      </c>
      <c r="D9" s="22" t="s">
        <v>25</v>
      </c>
      <c r="E9" s="22" t="s">
        <v>26</v>
      </c>
      <c r="F9" s="22" t="s">
        <v>27</v>
      </c>
      <c r="G9" s="22" t="s">
        <v>28</v>
      </c>
      <c r="H9" s="22" t="s">
        <v>29</v>
      </c>
      <c r="I9" s="26" t="s">
        <v>0</v>
      </c>
      <c r="J9" s="24" t="s">
        <v>30</v>
      </c>
      <c r="K9" s="25"/>
      <c r="L9" s="25"/>
      <c r="M9" s="25"/>
      <c r="N9" s="25"/>
      <c r="O9" s="25"/>
      <c r="P9" s="25"/>
      <c r="Q9" s="25"/>
      <c r="R9" s="25"/>
      <c r="S9" s="25"/>
      <c r="T9" s="25"/>
      <c r="U9" s="25"/>
      <c r="V9" s="25"/>
      <c r="W9" s="27"/>
      <c r="X9" s="24"/>
      <c r="Y9" s="24"/>
      <c r="Z9" s="24"/>
    </row>
    <row r="10" spans="1:26" ht="49.5" customHeight="1" x14ac:dyDescent="0.25">
      <c r="A10" s="21"/>
      <c r="B10" s="22" t="s">
        <v>38</v>
      </c>
      <c r="C10" s="22" t="s">
        <v>39</v>
      </c>
      <c r="D10" s="22" t="s">
        <v>40</v>
      </c>
      <c r="E10" s="22" t="s">
        <v>41</v>
      </c>
      <c r="F10" s="22" t="s">
        <v>42</v>
      </c>
      <c r="G10" s="22" t="s">
        <v>43</v>
      </c>
      <c r="H10" s="22" t="s">
        <v>44</v>
      </c>
      <c r="I10" s="26" t="s">
        <v>0</v>
      </c>
      <c r="J10" s="24" t="s">
        <v>30</v>
      </c>
      <c r="K10" s="25"/>
      <c r="L10" s="25"/>
      <c r="M10" s="25"/>
      <c r="N10" s="25"/>
      <c r="O10" s="25"/>
      <c r="P10" s="25"/>
      <c r="Q10" s="25"/>
      <c r="R10" s="25"/>
      <c r="S10" s="25"/>
      <c r="T10" s="25"/>
      <c r="U10" s="25"/>
      <c r="V10" s="25"/>
      <c r="W10" s="27"/>
      <c r="X10" s="24"/>
      <c r="Y10" s="24"/>
      <c r="Z10" s="24"/>
    </row>
    <row r="11" spans="1:26" ht="49.5" customHeight="1" x14ac:dyDescent="0.25">
      <c r="A11" s="21"/>
      <c r="B11" s="22" t="s">
        <v>38</v>
      </c>
      <c r="C11" s="22" t="s">
        <v>51</v>
      </c>
      <c r="D11" s="22" t="s">
        <v>53</v>
      </c>
      <c r="E11" s="22" t="s">
        <v>54</v>
      </c>
      <c r="F11" s="22" t="s">
        <v>55</v>
      </c>
      <c r="G11" s="22" t="s">
        <v>56</v>
      </c>
      <c r="H11" s="22" t="s">
        <v>57</v>
      </c>
      <c r="I11" s="26" t="s">
        <v>0</v>
      </c>
      <c r="J11" s="24" t="s">
        <v>30</v>
      </c>
      <c r="K11" s="25"/>
      <c r="L11" s="25"/>
      <c r="M11" s="25"/>
      <c r="N11" s="25"/>
      <c r="O11" s="25"/>
      <c r="P11" s="25"/>
      <c r="Q11" s="25"/>
      <c r="R11" s="25"/>
      <c r="S11" s="25"/>
      <c r="T11" s="25"/>
      <c r="U11" s="25"/>
      <c r="V11" s="25"/>
      <c r="W11" s="27"/>
      <c r="X11" s="24"/>
      <c r="Y11" s="24"/>
      <c r="Z11" s="24"/>
    </row>
    <row r="12" spans="1:26" ht="49.5" customHeight="1" x14ac:dyDescent="0.25">
      <c r="A12" s="21"/>
      <c r="B12" s="22" t="s">
        <v>63</v>
      </c>
      <c r="C12" s="22" t="s">
        <v>65</v>
      </c>
      <c r="D12" s="22" t="s">
        <v>66</v>
      </c>
      <c r="E12" s="22" t="s">
        <v>68</v>
      </c>
      <c r="F12" s="22" t="s">
        <v>69</v>
      </c>
      <c r="G12" s="22" t="s">
        <v>71</v>
      </c>
      <c r="H12" s="22" t="s">
        <v>72</v>
      </c>
      <c r="I12" s="26" t="s">
        <v>0</v>
      </c>
      <c r="J12" s="24" t="s">
        <v>30</v>
      </c>
      <c r="K12" s="25"/>
      <c r="L12" s="25"/>
      <c r="M12" s="25"/>
      <c r="N12" s="25"/>
      <c r="O12" s="25"/>
      <c r="P12" s="25"/>
      <c r="Q12" s="25"/>
      <c r="R12" s="25"/>
      <c r="S12" s="25"/>
      <c r="T12" s="25"/>
      <c r="U12" s="25"/>
      <c r="V12" s="25"/>
      <c r="W12" s="27"/>
      <c r="X12" s="24"/>
      <c r="Y12" s="24"/>
      <c r="Z12" s="24"/>
    </row>
    <row r="13" spans="1:26" ht="49.5" customHeight="1" x14ac:dyDescent="0.25">
      <c r="A13" s="21"/>
      <c r="B13" s="22" t="s">
        <v>63</v>
      </c>
      <c r="C13" s="22" t="s">
        <v>78</v>
      </c>
      <c r="D13" s="22" t="s">
        <v>79</v>
      </c>
      <c r="E13" s="22" t="s">
        <v>81</v>
      </c>
      <c r="F13" s="22" t="s">
        <v>83</v>
      </c>
      <c r="G13" s="22" t="s">
        <v>85</v>
      </c>
      <c r="H13" s="22" t="s">
        <v>86</v>
      </c>
      <c r="I13" s="26" t="s">
        <v>0</v>
      </c>
      <c r="J13" s="24" t="s">
        <v>30</v>
      </c>
      <c r="K13" s="25"/>
      <c r="L13" s="25"/>
      <c r="M13" s="25"/>
      <c r="N13" s="25"/>
      <c r="O13" s="25"/>
      <c r="P13" s="25"/>
      <c r="Q13" s="25"/>
      <c r="R13" s="25"/>
      <c r="S13" s="25"/>
      <c r="T13" s="25"/>
      <c r="U13" s="25"/>
      <c r="V13" s="25"/>
      <c r="W13" s="27"/>
      <c r="X13" s="24"/>
      <c r="Y13" s="24"/>
      <c r="Z13" s="24"/>
    </row>
    <row r="14" spans="1:26" ht="49.5" customHeight="1" x14ac:dyDescent="0.25">
      <c r="A14" s="21"/>
      <c r="B14" s="22" t="s">
        <v>90</v>
      </c>
      <c r="C14" s="22" t="s">
        <v>91</v>
      </c>
      <c r="D14" s="22" t="s">
        <v>92</v>
      </c>
      <c r="E14" s="22" t="s">
        <v>93</v>
      </c>
      <c r="F14" s="22" t="s">
        <v>94</v>
      </c>
      <c r="G14" s="22" t="s">
        <v>95</v>
      </c>
      <c r="H14" s="22" t="s">
        <v>96</v>
      </c>
      <c r="I14" s="26" t="s">
        <v>0</v>
      </c>
      <c r="J14" s="24" t="s">
        <v>30</v>
      </c>
      <c r="K14" s="25"/>
      <c r="L14" s="25"/>
      <c r="M14" s="25"/>
      <c r="N14" s="25"/>
      <c r="O14" s="25"/>
      <c r="P14" s="25"/>
      <c r="Q14" s="25"/>
      <c r="R14" s="25"/>
      <c r="S14" s="25"/>
      <c r="T14" s="25"/>
      <c r="U14" s="25"/>
      <c r="V14" s="25"/>
      <c r="W14" s="27"/>
      <c r="X14" s="24"/>
      <c r="Y14" s="24"/>
      <c r="Z14" s="24"/>
    </row>
    <row r="15" spans="1:26" ht="64.5" customHeight="1" x14ac:dyDescent="0.25">
      <c r="A15" s="21"/>
      <c r="B15" s="22" t="s">
        <v>101</v>
      </c>
      <c r="C15" s="22" t="s">
        <v>102</v>
      </c>
      <c r="D15" s="22" t="s">
        <v>103</v>
      </c>
      <c r="E15" s="22" t="s">
        <v>104</v>
      </c>
      <c r="F15" s="22" t="s">
        <v>107</v>
      </c>
      <c r="G15" s="22" t="s">
        <v>109</v>
      </c>
      <c r="H15" s="22" t="s">
        <v>111</v>
      </c>
      <c r="I15" s="26" t="s">
        <v>0</v>
      </c>
      <c r="J15" s="24" t="s">
        <v>30</v>
      </c>
      <c r="K15" s="25"/>
      <c r="L15" s="25"/>
      <c r="M15" s="25"/>
      <c r="N15" s="25"/>
      <c r="O15" s="25"/>
      <c r="P15" s="25"/>
      <c r="Q15" s="25"/>
      <c r="R15" s="25"/>
      <c r="S15" s="25"/>
      <c r="T15" s="25"/>
      <c r="U15" s="25"/>
      <c r="V15" s="25"/>
      <c r="W15" s="27"/>
      <c r="X15" s="24"/>
      <c r="Y15" s="24"/>
      <c r="Z15" s="24"/>
    </row>
    <row r="16" spans="1:26" ht="86.4" customHeight="1" x14ac:dyDescent="0.25">
      <c r="A16" s="21"/>
      <c r="B16" s="22" t="s">
        <v>101</v>
      </c>
      <c r="C16" s="22" t="s">
        <v>116</v>
      </c>
      <c r="D16" s="22" t="s">
        <v>117</v>
      </c>
      <c r="E16" s="22" t="s">
        <v>120</v>
      </c>
      <c r="F16" s="22" t="s">
        <v>122</v>
      </c>
      <c r="G16" s="22" t="s">
        <v>124</v>
      </c>
      <c r="H16" s="22" t="s">
        <v>125</v>
      </c>
      <c r="I16" s="26" t="s">
        <v>1</v>
      </c>
      <c r="J16" s="24" t="s">
        <v>30</v>
      </c>
      <c r="K16" s="25"/>
      <c r="L16" s="25"/>
      <c r="M16" s="25"/>
      <c r="N16" s="25"/>
      <c r="O16" s="25"/>
      <c r="P16" s="25"/>
      <c r="Q16" s="25"/>
      <c r="R16" s="25"/>
      <c r="S16" s="25"/>
      <c r="T16" s="25"/>
      <c r="U16" s="25"/>
      <c r="V16" s="25"/>
      <c r="W16" s="27"/>
      <c r="X16" s="24"/>
      <c r="Y16" s="24"/>
      <c r="Z16" s="24"/>
    </row>
    <row r="17" spans="1:26" ht="49.5" customHeight="1" x14ac:dyDescent="0.25">
      <c r="A17" s="21"/>
      <c r="B17" s="22" t="s">
        <v>101</v>
      </c>
      <c r="C17" s="22" t="s">
        <v>130</v>
      </c>
      <c r="D17" s="22" t="s">
        <v>131</v>
      </c>
      <c r="E17" s="22" t="s">
        <v>133</v>
      </c>
      <c r="F17" s="22" t="s">
        <v>135</v>
      </c>
      <c r="G17" s="22" t="s">
        <v>137</v>
      </c>
      <c r="H17" s="22" t="s">
        <v>139</v>
      </c>
      <c r="I17" s="26" t="s">
        <v>0</v>
      </c>
      <c r="J17" s="24" t="s">
        <v>30</v>
      </c>
      <c r="K17" s="25"/>
      <c r="L17" s="25"/>
      <c r="M17" s="25"/>
      <c r="N17" s="25"/>
      <c r="O17" s="25"/>
      <c r="P17" s="25"/>
      <c r="Q17" s="25"/>
      <c r="R17" s="25"/>
      <c r="S17" s="25"/>
      <c r="T17" s="25"/>
      <c r="U17" s="25"/>
      <c r="V17" s="25"/>
      <c r="W17" s="27"/>
      <c r="X17" s="24"/>
      <c r="Y17" s="24"/>
      <c r="Z17" s="24"/>
    </row>
    <row r="18" spans="1:26" ht="69" customHeight="1" x14ac:dyDescent="0.25">
      <c r="A18" s="21"/>
      <c r="B18" s="22" t="s">
        <v>101</v>
      </c>
      <c r="C18" s="22" t="s">
        <v>143</v>
      </c>
      <c r="D18" s="22" t="s">
        <v>144</v>
      </c>
      <c r="E18" s="22" t="s">
        <v>145</v>
      </c>
      <c r="F18" s="22" t="s">
        <v>147</v>
      </c>
      <c r="G18" s="22" t="s">
        <v>149</v>
      </c>
      <c r="H18" s="22" t="s">
        <v>151</v>
      </c>
      <c r="I18" s="26" t="s">
        <v>0</v>
      </c>
      <c r="J18" s="24" t="s">
        <v>30</v>
      </c>
      <c r="K18" s="25"/>
      <c r="L18" s="25"/>
      <c r="M18" s="25"/>
      <c r="N18" s="25"/>
      <c r="O18" s="25"/>
      <c r="P18" s="25"/>
      <c r="Q18" s="25"/>
      <c r="R18" s="25"/>
      <c r="S18" s="25"/>
      <c r="T18" s="25"/>
      <c r="U18" s="25"/>
      <c r="V18" s="25"/>
      <c r="W18" s="27"/>
      <c r="X18" s="24"/>
      <c r="Y18" s="24"/>
      <c r="Z18" s="24"/>
    </row>
    <row r="19" spans="1:26" ht="49.5" customHeight="1" x14ac:dyDescent="0.25">
      <c r="A19" s="21"/>
      <c r="B19" s="22" t="s">
        <v>101</v>
      </c>
      <c r="C19" s="22" t="s">
        <v>156</v>
      </c>
      <c r="D19" s="22" t="s">
        <v>157</v>
      </c>
      <c r="E19" s="22" t="s">
        <v>158</v>
      </c>
      <c r="F19" s="22" t="s">
        <v>159</v>
      </c>
      <c r="G19" s="22" t="s">
        <v>160</v>
      </c>
      <c r="H19" s="22" t="s">
        <v>161</v>
      </c>
      <c r="I19" s="26" t="s">
        <v>0</v>
      </c>
      <c r="J19" s="24" t="s">
        <v>30</v>
      </c>
      <c r="K19" s="25"/>
      <c r="L19" s="25"/>
      <c r="M19" s="25"/>
      <c r="N19" s="25"/>
      <c r="O19" s="25"/>
      <c r="P19" s="25"/>
      <c r="Q19" s="25"/>
      <c r="R19" s="25"/>
      <c r="S19" s="25"/>
      <c r="T19" s="25"/>
      <c r="U19" s="25"/>
      <c r="V19" s="25"/>
      <c r="W19" s="27"/>
      <c r="X19" s="24"/>
      <c r="Y19" s="24"/>
      <c r="Z19" s="24"/>
    </row>
    <row r="20" spans="1:26" ht="49.5" customHeight="1" x14ac:dyDescent="0.25">
      <c r="A20" s="21"/>
      <c r="B20" s="22" t="s">
        <v>162</v>
      </c>
      <c r="C20" s="22" t="s">
        <v>163</v>
      </c>
      <c r="D20" s="22" t="s">
        <v>164</v>
      </c>
      <c r="E20" s="22" t="s">
        <v>165</v>
      </c>
      <c r="F20" s="22" t="s">
        <v>166</v>
      </c>
      <c r="G20" s="22" t="s">
        <v>167</v>
      </c>
      <c r="H20" s="22" t="s">
        <v>168</v>
      </c>
      <c r="I20" s="26" t="s">
        <v>0</v>
      </c>
      <c r="J20" s="24" t="s">
        <v>30</v>
      </c>
      <c r="K20" s="25"/>
      <c r="L20" s="25"/>
      <c r="M20" s="25"/>
      <c r="N20" s="25"/>
      <c r="O20" s="25"/>
      <c r="P20" s="25"/>
      <c r="Q20" s="25"/>
      <c r="R20" s="25"/>
      <c r="S20" s="25"/>
      <c r="T20" s="25"/>
      <c r="U20" s="25"/>
      <c r="V20" s="25"/>
      <c r="W20" s="27"/>
      <c r="X20" s="24"/>
      <c r="Y20" s="24"/>
      <c r="Z20" s="24"/>
    </row>
    <row r="21" spans="1:26" ht="58.5" customHeight="1" x14ac:dyDescent="0.25">
      <c r="A21" s="21"/>
      <c r="B21" s="22" t="s">
        <v>162</v>
      </c>
      <c r="C21" s="22" t="s">
        <v>169</v>
      </c>
      <c r="D21" s="22" t="s">
        <v>170</v>
      </c>
      <c r="E21" s="22" t="s">
        <v>145</v>
      </c>
      <c r="F21" s="22" t="s">
        <v>171</v>
      </c>
      <c r="G21" s="22" t="s">
        <v>172</v>
      </c>
      <c r="H21" s="22" t="s">
        <v>173</v>
      </c>
      <c r="I21" s="26" t="s">
        <v>0</v>
      </c>
      <c r="J21" s="24" t="s">
        <v>30</v>
      </c>
      <c r="K21" s="25"/>
      <c r="L21" s="25"/>
      <c r="M21" s="25"/>
      <c r="N21" s="25"/>
      <c r="O21" s="25"/>
      <c r="P21" s="25"/>
      <c r="Q21" s="25"/>
      <c r="R21" s="25"/>
      <c r="S21" s="25"/>
      <c r="T21" s="25"/>
      <c r="U21" s="25"/>
      <c r="V21" s="25"/>
      <c r="W21" s="27"/>
      <c r="X21" s="24"/>
      <c r="Y21" s="24"/>
      <c r="Z21" s="24"/>
    </row>
    <row r="22" spans="1:26" ht="49.5" customHeight="1" x14ac:dyDescent="0.25">
      <c r="A22" s="21"/>
      <c r="B22" s="22" t="s">
        <v>162</v>
      </c>
      <c r="C22" s="22" t="s">
        <v>174</v>
      </c>
      <c r="D22" s="22" t="s">
        <v>175</v>
      </c>
      <c r="E22" s="22" t="s">
        <v>176</v>
      </c>
      <c r="F22" s="22" t="s">
        <v>177</v>
      </c>
      <c r="G22" s="22" t="s">
        <v>178</v>
      </c>
      <c r="H22" s="22" t="s">
        <v>179</v>
      </c>
      <c r="I22" s="26" t="s">
        <v>0</v>
      </c>
      <c r="J22" s="24" t="s">
        <v>30</v>
      </c>
      <c r="K22" s="25"/>
      <c r="L22" s="25"/>
      <c r="M22" s="25"/>
      <c r="N22" s="25"/>
      <c r="O22" s="25"/>
      <c r="P22" s="25"/>
      <c r="Q22" s="25"/>
      <c r="R22" s="25"/>
      <c r="S22" s="25"/>
      <c r="T22" s="25"/>
      <c r="U22" s="25"/>
      <c r="V22" s="25"/>
      <c r="W22" s="27"/>
      <c r="X22" s="24"/>
      <c r="Y22" s="24"/>
      <c r="Z22" s="24"/>
    </row>
    <row r="23" spans="1:26" ht="65.25" customHeight="1" x14ac:dyDescent="0.25">
      <c r="A23" s="21"/>
      <c r="B23" s="22" t="s">
        <v>162</v>
      </c>
      <c r="C23" s="22" t="s">
        <v>180</v>
      </c>
      <c r="D23" s="22" t="s">
        <v>181</v>
      </c>
      <c r="E23" s="22" t="s">
        <v>182</v>
      </c>
      <c r="F23" s="22" t="s">
        <v>183</v>
      </c>
      <c r="G23" s="22" t="s">
        <v>184</v>
      </c>
      <c r="H23" s="22" t="s">
        <v>185</v>
      </c>
      <c r="I23" s="26" t="s">
        <v>1</v>
      </c>
      <c r="J23" s="24" t="s">
        <v>30</v>
      </c>
      <c r="K23" s="25"/>
      <c r="L23" s="25"/>
      <c r="M23" s="25"/>
      <c r="N23" s="25"/>
      <c r="O23" s="25"/>
      <c r="P23" s="25"/>
      <c r="Q23" s="25"/>
      <c r="R23" s="25"/>
      <c r="S23" s="25"/>
      <c r="T23" s="25"/>
      <c r="U23" s="25"/>
      <c r="V23" s="25"/>
      <c r="W23" s="27"/>
      <c r="X23" s="24"/>
      <c r="Y23" s="24"/>
      <c r="Z23" s="24"/>
    </row>
    <row r="24" spans="1:26" ht="49.5" customHeight="1" x14ac:dyDescent="0.25">
      <c r="A24" s="21"/>
      <c r="B24" s="22" t="s">
        <v>186</v>
      </c>
      <c r="C24" s="22" t="s">
        <v>187</v>
      </c>
      <c r="D24" s="22" t="s">
        <v>188</v>
      </c>
      <c r="E24" s="22" t="s">
        <v>189</v>
      </c>
      <c r="F24" s="22" t="s">
        <v>190</v>
      </c>
      <c r="G24" s="22" t="s">
        <v>191</v>
      </c>
      <c r="H24" s="22" t="s">
        <v>192</v>
      </c>
      <c r="I24" s="26" t="s">
        <v>0</v>
      </c>
      <c r="J24" s="24" t="s">
        <v>30</v>
      </c>
      <c r="K24" s="25"/>
      <c r="L24" s="25"/>
      <c r="M24" s="25"/>
      <c r="N24" s="25"/>
      <c r="O24" s="25"/>
      <c r="P24" s="25"/>
      <c r="Q24" s="25"/>
      <c r="R24" s="25"/>
      <c r="S24" s="25"/>
      <c r="T24" s="25"/>
      <c r="U24" s="25"/>
      <c r="V24" s="25"/>
      <c r="W24" s="27"/>
      <c r="X24" s="24"/>
      <c r="Y24" s="24"/>
      <c r="Z24" s="24"/>
    </row>
    <row r="25" spans="1:26" ht="49.5" customHeight="1" x14ac:dyDescent="0.25">
      <c r="A25" s="21"/>
      <c r="B25" s="22" t="s">
        <v>193</v>
      </c>
      <c r="C25" s="22" t="s">
        <v>194</v>
      </c>
      <c r="D25" s="22" t="s">
        <v>195</v>
      </c>
      <c r="E25" s="22" t="s">
        <v>196</v>
      </c>
      <c r="F25" s="22" t="s">
        <v>197</v>
      </c>
      <c r="G25" s="22" t="s">
        <v>198</v>
      </c>
      <c r="H25" s="22" t="s">
        <v>199</v>
      </c>
      <c r="I25" s="26" t="s">
        <v>0</v>
      </c>
      <c r="J25" s="24" t="s">
        <v>30</v>
      </c>
      <c r="K25" s="25"/>
      <c r="L25" s="25"/>
      <c r="M25" s="25"/>
      <c r="N25" s="25"/>
      <c r="O25" s="25"/>
      <c r="P25" s="25"/>
      <c r="Q25" s="25"/>
      <c r="R25" s="25"/>
      <c r="S25" s="25"/>
      <c r="T25" s="25"/>
      <c r="U25" s="25"/>
      <c r="V25" s="25"/>
      <c r="W25" s="27"/>
      <c r="X25" s="24"/>
      <c r="Y25" s="24"/>
      <c r="Z25" s="24"/>
    </row>
    <row r="26" spans="1:26" ht="47.25" customHeight="1" x14ac:dyDescent="0.25">
      <c r="A26" s="21"/>
      <c r="B26" s="22" t="s">
        <v>200</v>
      </c>
      <c r="C26" s="22" t="s">
        <v>201</v>
      </c>
      <c r="D26" s="22" t="s">
        <v>202</v>
      </c>
      <c r="E26" s="22" t="s">
        <v>203</v>
      </c>
      <c r="F26" s="22" t="s">
        <v>204</v>
      </c>
      <c r="G26" s="22" t="s">
        <v>205</v>
      </c>
      <c r="H26" s="22" t="s">
        <v>206</v>
      </c>
      <c r="I26" s="26" t="s">
        <v>0</v>
      </c>
      <c r="J26" s="24" t="s">
        <v>30</v>
      </c>
      <c r="K26" s="25"/>
      <c r="L26" s="25"/>
      <c r="M26" s="25"/>
      <c r="N26" s="25"/>
      <c r="O26" s="25"/>
      <c r="P26" s="25"/>
      <c r="Q26" s="25"/>
      <c r="R26" s="25"/>
      <c r="S26" s="25"/>
      <c r="T26" s="25"/>
      <c r="U26" s="25"/>
      <c r="V26" s="25"/>
      <c r="W26" s="27"/>
      <c r="X26" s="24"/>
      <c r="Y26" s="24"/>
      <c r="Z26" s="24"/>
    </row>
    <row r="27" spans="1:26" ht="49.5" customHeight="1" x14ac:dyDescent="0.25">
      <c r="A27" s="21"/>
      <c r="B27" s="22" t="s">
        <v>200</v>
      </c>
      <c r="C27" s="22" t="s">
        <v>207</v>
      </c>
      <c r="D27" s="22" t="s">
        <v>208</v>
      </c>
      <c r="E27" s="22" t="s">
        <v>209</v>
      </c>
      <c r="F27" s="22" t="s">
        <v>210</v>
      </c>
      <c r="G27" s="22" t="s">
        <v>211</v>
      </c>
      <c r="H27" s="22" t="s">
        <v>212</v>
      </c>
      <c r="I27" s="26" t="s">
        <v>0</v>
      </c>
      <c r="J27" s="24" t="s">
        <v>30</v>
      </c>
      <c r="K27" s="25"/>
      <c r="L27" s="25"/>
      <c r="M27" s="25"/>
      <c r="N27" s="25"/>
      <c r="O27" s="25"/>
      <c r="P27" s="25"/>
      <c r="Q27" s="25"/>
      <c r="R27" s="25"/>
      <c r="S27" s="25"/>
      <c r="T27" s="25"/>
      <c r="U27" s="25"/>
      <c r="V27" s="25"/>
      <c r="W27" s="27"/>
      <c r="X27" s="24"/>
      <c r="Y27" s="24"/>
      <c r="Z27" s="24"/>
    </row>
    <row r="28" spans="1:26" ht="49.5" customHeight="1" x14ac:dyDescent="0.25">
      <c r="A28" s="21"/>
      <c r="B28" s="22" t="s">
        <v>200</v>
      </c>
      <c r="C28" s="22" t="s">
        <v>213</v>
      </c>
      <c r="D28" s="22" t="s">
        <v>214</v>
      </c>
      <c r="E28" s="22" t="s">
        <v>215</v>
      </c>
      <c r="F28" s="22" t="s">
        <v>216</v>
      </c>
      <c r="G28" s="22" t="s">
        <v>217</v>
      </c>
      <c r="H28" s="22" t="s">
        <v>218</v>
      </c>
      <c r="I28" s="26" t="s">
        <v>0</v>
      </c>
      <c r="J28" s="24" t="s">
        <v>30</v>
      </c>
      <c r="K28" s="25"/>
      <c r="L28" s="25"/>
      <c r="M28" s="25"/>
      <c r="N28" s="25"/>
      <c r="O28" s="25"/>
      <c r="P28" s="25"/>
      <c r="Q28" s="25"/>
      <c r="R28" s="25"/>
      <c r="S28" s="25"/>
      <c r="T28" s="25"/>
      <c r="U28" s="25"/>
      <c r="V28" s="25"/>
      <c r="W28" s="27"/>
      <c r="X28" s="24"/>
      <c r="Y28" s="24"/>
      <c r="Z28" s="24"/>
    </row>
    <row r="29" spans="1:26" ht="49.5" customHeight="1" x14ac:dyDescent="0.25">
      <c r="A29" s="21"/>
      <c r="B29" s="22" t="s">
        <v>200</v>
      </c>
      <c r="C29" s="22" t="s">
        <v>219</v>
      </c>
      <c r="D29" s="22" t="s">
        <v>220</v>
      </c>
      <c r="E29" s="22" t="s">
        <v>221</v>
      </c>
      <c r="F29" s="22" t="s">
        <v>222</v>
      </c>
      <c r="G29" s="22" t="s">
        <v>223</v>
      </c>
      <c r="H29" s="22" t="s">
        <v>224</v>
      </c>
      <c r="I29" s="26" t="s">
        <v>0</v>
      </c>
      <c r="J29" s="24" t="s">
        <v>30</v>
      </c>
      <c r="K29" s="25"/>
      <c r="L29" s="25"/>
      <c r="M29" s="25"/>
      <c r="N29" s="25"/>
      <c r="O29" s="25"/>
      <c r="P29" s="25"/>
      <c r="Q29" s="25"/>
      <c r="R29" s="25"/>
      <c r="S29" s="25"/>
      <c r="T29" s="25"/>
      <c r="U29" s="25"/>
      <c r="V29" s="25"/>
      <c r="W29" s="27"/>
      <c r="X29" s="24"/>
      <c r="Y29" s="24"/>
      <c r="Z29" s="24"/>
    </row>
    <row r="30" spans="1:26" ht="49.5" customHeight="1" x14ac:dyDescent="0.25">
      <c r="A30" s="21"/>
      <c r="B30" s="22" t="s">
        <v>225</v>
      </c>
      <c r="C30" s="22" t="s">
        <v>226</v>
      </c>
      <c r="D30" s="22" t="s">
        <v>227</v>
      </c>
      <c r="E30" s="22" t="s">
        <v>228</v>
      </c>
      <c r="F30" s="22" t="s">
        <v>229</v>
      </c>
      <c r="G30" s="22" t="s">
        <v>230</v>
      </c>
      <c r="H30" s="22" t="s">
        <v>231</v>
      </c>
      <c r="I30" s="26" t="s">
        <v>0</v>
      </c>
      <c r="J30" s="24" t="s">
        <v>30</v>
      </c>
      <c r="K30" s="25"/>
      <c r="L30" s="25"/>
      <c r="M30" s="25"/>
      <c r="N30" s="25"/>
      <c r="O30" s="25"/>
      <c r="P30" s="25"/>
      <c r="Q30" s="25"/>
      <c r="R30" s="25"/>
      <c r="S30" s="25"/>
      <c r="T30" s="25"/>
      <c r="U30" s="25"/>
      <c r="V30" s="25"/>
      <c r="W30" s="27"/>
      <c r="X30" s="24"/>
      <c r="Y30" s="24"/>
      <c r="Z30" s="24"/>
    </row>
    <row r="31" spans="1:26" ht="41.25" customHeight="1" x14ac:dyDescent="0.25">
      <c r="A31" s="21"/>
      <c r="B31" s="22" t="s">
        <v>225</v>
      </c>
      <c r="C31" s="22" t="s">
        <v>232</v>
      </c>
      <c r="D31" s="22" t="s">
        <v>233</v>
      </c>
      <c r="E31" s="22" t="s">
        <v>234</v>
      </c>
      <c r="F31" s="22" t="s">
        <v>235</v>
      </c>
      <c r="G31" s="22" t="s">
        <v>236</v>
      </c>
      <c r="H31" s="22" t="s">
        <v>237</v>
      </c>
      <c r="I31" s="26" t="s">
        <v>0</v>
      </c>
      <c r="J31" s="24" t="s">
        <v>30</v>
      </c>
      <c r="K31" s="25"/>
      <c r="L31" s="25"/>
      <c r="M31" s="25"/>
      <c r="N31" s="25"/>
      <c r="O31" s="25"/>
      <c r="P31" s="25"/>
      <c r="Q31" s="25"/>
      <c r="R31" s="25"/>
      <c r="S31" s="25"/>
      <c r="T31" s="25"/>
      <c r="U31" s="25"/>
      <c r="V31" s="25"/>
      <c r="W31" s="27"/>
      <c r="X31" s="24"/>
      <c r="Y31" s="24"/>
      <c r="Z31" s="24"/>
    </row>
    <row r="32" spans="1:26" ht="50.25" customHeight="1" x14ac:dyDescent="0.25">
      <c r="A32" s="21"/>
      <c r="B32" s="22" t="s">
        <v>225</v>
      </c>
      <c r="C32" s="22" t="s">
        <v>238</v>
      </c>
      <c r="D32" s="22" t="s">
        <v>239</v>
      </c>
      <c r="E32" s="22" t="s">
        <v>240</v>
      </c>
      <c r="F32" s="22" t="s">
        <v>241</v>
      </c>
      <c r="G32" s="22" t="s">
        <v>242</v>
      </c>
      <c r="H32" s="22" t="s">
        <v>243</v>
      </c>
      <c r="I32" s="26" t="s">
        <v>0</v>
      </c>
      <c r="J32" s="24" t="s">
        <v>30</v>
      </c>
      <c r="K32" s="25"/>
      <c r="L32" s="25"/>
      <c r="M32" s="25"/>
      <c r="N32" s="25"/>
      <c r="O32" s="25"/>
      <c r="P32" s="25"/>
      <c r="Q32" s="25"/>
      <c r="R32" s="25"/>
      <c r="S32" s="25"/>
      <c r="T32" s="25"/>
      <c r="U32" s="25"/>
      <c r="V32" s="25"/>
      <c r="W32" s="27"/>
      <c r="X32" s="24"/>
      <c r="Y32" s="24"/>
      <c r="Z32" s="24"/>
    </row>
    <row r="33" spans="1:26" ht="60.75" customHeight="1" x14ac:dyDescent="0.25">
      <c r="A33" s="21"/>
      <c r="B33" s="22" t="s">
        <v>244</v>
      </c>
      <c r="C33" s="22" t="s">
        <v>245</v>
      </c>
      <c r="D33" s="22" t="s">
        <v>246</v>
      </c>
      <c r="E33" s="22"/>
      <c r="F33" s="22" t="s">
        <v>247</v>
      </c>
      <c r="G33" s="22" t="s">
        <v>248</v>
      </c>
      <c r="H33" s="22" t="s">
        <v>249</v>
      </c>
      <c r="I33" s="26" t="s">
        <v>1</v>
      </c>
      <c r="J33" s="24" t="s">
        <v>30</v>
      </c>
      <c r="K33" s="25"/>
      <c r="L33" s="25"/>
      <c r="M33" s="25"/>
      <c r="N33" s="25"/>
      <c r="O33" s="25"/>
      <c r="P33" s="25"/>
      <c r="Q33" s="25"/>
      <c r="R33" s="25"/>
      <c r="S33" s="25"/>
      <c r="T33" s="25"/>
      <c r="U33" s="25"/>
      <c r="V33" s="25"/>
      <c r="W33" s="27"/>
      <c r="X33" s="24"/>
      <c r="Y33" s="24"/>
      <c r="Z33" s="24"/>
    </row>
    <row r="34" spans="1:26" ht="49.5" customHeight="1" x14ac:dyDescent="0.25">
      <c r="A34" s="21"/>
      <c r="B34" s="22" t="s">
        <v>244</v>
      </c>
      <c r="C34" s="22" t="s">
        <v>250</v>
      </c>
      <c r="D34" s="22" t="s">
        <v>251</v>
      </c>
      <c r="E34" s="22" t="s">
        <v>252</v>
      </c>
      <c r="F34" s="22" t="s">
        <v>253</v>
      </c>
      <c r="G34" s="22" t="s">
        <v>254</v>
      </c>
      <c r="H34" s="22" t="s">
        <v>255</v>
      </c>
      <c r="I34" s="26" t="s">
        <v>0</v>
      </c>
      <c r="J34" s="24" t="s">
        <v>256</v>
      </c>
      <c r="K34" s="25"/>
      <c r="L34" s="25"/>
      <c r="M34" s="25"/>
      <c r="N34" s="25"/>
      <c r="O34" s="25"/>
      <c r="P34" s="25"/>
      <c r="Q34" s="25"/>
      <c r="R34" s="25"/>
      <c r="S34" s="25"/>
      <c r="T34" s="25"/>
      <c r="U34" s="25"/>
      <c r="V34" s="25"/>
      <c r="W34" s="27"/>
      <c r="X34" s="24"/>
      <c r="Y34" s="24"/>
      <c r="Z34" s="24"/>
    </row>
    <row r="35" spans="1:26" ht="49.5" customHeight="1" x14ac:dyDescent="0.25">
      <c r="A35" s="21"/>
      <c r="B35" s="22" t="s">
        <v>244</v>
      </c>
      <c r="C35" s="22" t="s">
        <v>257</v>
      </c>
      <c r="D35" s="22" t="s">
        <v>258</v>
      </c>
      <c r="E35" s="22" t="s">
        <v>259</v>
      </c>
      <c r="F35" s="22" t="s">
        <v>260</v>
      </c>
      <c r="G35" s="22" t="s">
        <v>261</v>
      </c>
      <c r="H35" s="22" t="s">
        <v>262</v>
      </c>
      <c r="I35" s="26" t="s">
        <v>0</v>
      </c>
      <c r="J35" s="24" t="s">
        <v>256</v>
      </c>
      <c r="K35" s="25"/>
      <c r="L35" s="25"/>
      <c r="M35" s="25"/>
      <c r="N35" s="25"/>
      <c r="O35" s="25"/>
      <c r="P35" s="25"/>
      <c r="Q35" s="25"/>
      <c r="R35" s="25"/>
      <c r="S35" s="25"/>
      <c r="T35" s="25"/>
      <c r="U35" s="25"/>
      <c r="V35" s="25"/>
      <c r="W35" s="27"/>
      <c r="X35" s="24"/>
      <c r="Y35" s="24"/>
      <c r="Z35" s="24"/>
    </row>
    <row r="36" spans="1:26" ht="49.5" customHeight="1" x14ac:dyDescent="0.25">
      <c r="A36" s="21"/>
      <c r="B36" s="22" t="s">
        <v>244</v>
      </c>
      <c r="C36" s="22" t="s">
        <v>263</v>
      </c>
      <c r="D36" s="22" t="s">
        <v>264</v>
      </c>
      <c r="E36" s="22" t="s">
        <v>265</v>
      </c>
      <c r="F36" s="22" t="s">
        <v>266</v>
      </c>
      <c r="G36" s="22" t="s">
        <v>267</v>
      </c>
      <c r="H36" s="22" t="s">
        <v>268</v>
      </c>
      <c r="I36" s="26" t="s">
        <v>0</v>
      </c>
      <c r="J36" s="24" t="s">
        <v>256</v>
      </c>
      <c r="K36" s="25"/>
      <c r="L36" s="25"/>
      <c r="M36" s="25"/>
      <c r="N36" s="25"/>
      <c r="O36" s="25"/>
      <c r="P36" s="25"/>
      <c r="Q36" s="25"/>
      <c r="R36" s="25"/>
      <c r="S36" s="25"/>
      <c r="T36" s="25"/>
      <c r="U36" s="25"/>
      <c r="V36" s="25"/>
      <c r="W36" s="27"/>
      <c r="X36" s="24"/>
      <c r="Y36" s="24"/>
      <c r="Z36" s="24"/>
    </row>
    <row r="37" spans="1:26" ht="49.5" customHeight="1" x14ac:dyDescent="0.25">
      <c r="A37" s="21"/>
      <c r="B37" s="22" t="s">
        <v>244</v>
      </c>
      <c r="C37" s="22" t="s">
        <v>269</v>
      </c>
      <c r="D37" s="22" t="s">
        <v>270</v>
      </c>
      <c r="E37" s="22" t="s">
        <v>271</v>
      </c>
      <c r="F37" s="22" t="s">
        <v>272</v>
      </c>
      <c r="G37" s="22" t="s">
        <v>273</v>
      </c>
      <c r="H37" s="22" t="s">
        <v>274</v>
      </c>
      <c r="I37" s="26" t="s">
        <v>0</v>
      </c>
      <c r="J37" s="24" t="s">
        <v>256</v>
      </c>
      <c r="K37" s="25"/>
      <c r="L37" s="25"/>
      <c r="M37" s="25"/>
      <c r="N37" s="25"/>
      <c r="O37" s="25"/>
      <c r="P37" s="25"/>
      <c r="Q37" s="25"/>
      <c r="R37" s="25"/>
      <c r="S37" s="25"/>
      <c r="T37" s="25"/>
      <c r="U37" s="25"/>
      <c r="V37" s="25"/>
      <c r="W37" s="27"/>
      <c r="X37" s="24"/>
      <c r="Y37" s="24"/>
      <c r="Z37" s="24"/>
    </row>
    <row r="38" spans="1:26" ht="49.5" customHeight="1" x14ac:dyDescent="0.25">
      <c r="A38" s="21"/>
      <c r="B38" s="22" t="s">
        <v>275</v>
      </c>
      <c r="C38" s="22" t="s">
        <v>276</v>
      </c>
      <c r="D38" s="22" t="s">
        <v>277</v>
      </c>
      <c r="E38" s="22" t="s">
        <v>278</v>
      </c>
      <c r="F38" s="22" t="s">
        <v>279</v>
      </c>
      <c r="G38" s="22" t="s">
        <v>280</v>
      </c>
      <c r="H38" s="22" t="s">
        <v>281</v>
      </c>
      <c r="I38" s="26" t="s">
        <v>0</v>
      </c>
      <c r="J38" s="24" t="s">
        <v>256</v>
      </c>
      <c r="K38" s="25"/>
      <c r="L38" s="25"/>
      <c r="M38" s="25"/>
      <c r="N38" s="25"/>
      <c r="O38" s="25"/>
      <c r="P38" s="25"/>
      <c r="Q38" s="25"/>
      <c r="R38" s="25"/>
      <c r="S38" s="25"/>
      <c r="T38" s="25"/>
      <c r="U38" s="25"/>
      <c r="V38" s="25"/>
      <c r="W38" s="27"/>
      <c r="X38" s="24"/>
      <c r="Y38" s="24"/>
      <c r="Z38" s="24"/>
    </row>
    <row r="39" spans="1:26" ht="49.5" customHeight="1" x14ac:dyDescent="0.25">
      <c r="A39" s="21"/>
      <c r="B39" s="22" t="s">
        <v>282</v>
      </c>
      <c r="C39" s="22" t="s">
        <v>283</v>
      </c>
      <c r="D39" s="22" t="s">
        <v>284</v>
      </c>
      <c r="E39" s="22" t="s">
        <v>285</v>
      </c>
      <c r="F39" s="22" t="s">
        <v>286</v>
      </c>
      <c r="G39" s="22" t="s">
        <v>287</v>
      </c>
      <c r="H39" s="22" t="s">
        <v>288</v>
      </c>
      <c r="I39" s="26" t="s">
        <v>0</v>
      </c>
      <c r="J39" s="24" t="s">
        <v>256</v>
      </c>
      <c r="K39" s="25"/>
      <c r="L39" s="25"/>
      <c r="M39" s="25"/>
      <c r="N39" s="25"/>
      <c r="O39" s="25"/>
      <c r="P39" s="25"/>
      <c r="Q39" s="25"/>
      <c r="R39" s="25"/>
      <c r="S39" s="25"/>
      <c r="T39" s="25"/>
      <c r="U39" s="25"/>
      <c r="V39" s="25"/>
      <c r="W39" s="27"/>
      <c r="X39" s="24"/>
      <c r="Y39" s="24"/>
      <c r="Z39" s="24"/>
    </row>
    <row r="40" spans="1:26" ht="49.5" customHeight="1" x14ac:dyDescent="0.25">
      <c r="A40" s="21"/>
      <c r="B40" s="22" t="s">
        <v>282</v>
      </c>
      <c r="C40" s="22" t="s">
        <v>289</v>
      </c>
      <c r="D40" s="22" t="s">
        <v>290</v>
      </c>
      <c r="E40" s="22" t="s">
        <v>291</v>
      </c>
      <c r="F40" s="22" t="s">
        <v>292</v>
      </c>
      <c r="G40" s="22" t="s">
        <v>293</v>
      </c>
      <c r="H40" s="22" t="s">
        <v>294</v>
      </c>
      <c r="I40" s="26" t="s">
        <v>0</v>
      </c>
      <c r="J40" s="24" t="s">
        <v>256</v>
      </c>
      <c r="K40" s="25"/>
      <c r="L40" s="25"/>
      <c r="M40" s="25"/>
      <c r="N40" s="25"/>
      <c r="O40" s="25"/>
      <c r="P40" s="25"/>
      <c r="Q40" s="25"/>
      <c r="R40" s="25"/>
      <c r="S40" s="25"/>
      <c r="T40" s="25"/>
      <c r="U40" s="25"/>
      <c r="V40" s="25"/>
      <c r="W40" s="27"/>
      <c r="X40" s="24"/>
      <c r="Y40" s="24"/>
      <c r="Z40" s="24"/>
    </row>
    <row r="41" spans="1:26" ht="49.5" customHeight="1" x14ac:dyDescent="0.25">
      <c r="A41" s="21"/>
      <c r="B41" s="22" t="s">
        <v>295</v>
      </c>
      <c r="C41" s="22" t="s">
        <v>296</v>
      </c>
      <c r="D41" s="22" t="s">
        <v>297</v>
      </c>
      <c r="E41" s="22" t="s">
        <v>298</v>
      </c>
      <c r="F41" s="22" t="s">
        <v>299</v>
      </c>
      <c r="G41" s="22" t="s">
        <v>300</v>
      </c>
      <c r="H41" s="22" t="s">
        <v>301</v>
      </c>
      <c r="I41" s="26" t="s">
        <v>0</v>
      </c>
      <c r="J41" s="24" t="s">
        <v>256</v>
      </c>
      <c r="K41" s="25"/>
      <c r="L41" s="25"/>
      <c r="M41" s="25"/>
      <c r="N41" s="25"/>
      <c r="O41" s="25"/>
      <c r="P41" s="25"/>
      <c r="Q41" s="25"/>
      <c r="R41" s="25"/>
      <c r="S41" s="25"/>
      <c r="T41" s="25"/>
      <c r="U41" s="25"/>
      <c r="V41" s="25"/>
      <c r="W41" s="27"/>
      <c r="X41" s="24"/>
      <c r="Y41" s="24"/>
      <c r="Z41" s="24"/>
    </row>
    <row r="42" spans="1:26" ht="49.5" customHeight="1" x14ac:dyDescent="0.25">
      <c r="A42" s="21"/>
      <c r="B42" s="22" t="s">
        <v>295</v>
      </c>
      <c r="C42" s="22" t="s">
        <v>302</v>
      </c>
      <c r="D42" s="22" t="s">
        <v>303</v>
      </c>
      <c r="E42" s="22" t="s">
        <v>304</v>
      </c>
      <c r="F42" s="22" t="s">
        <v>305</v>
      </c>
      <c r="G42" s="22" t="s">
        <v>306</v>
      </c>
      <c r="H42" s="22" t="s">
        <v>307</v>
      </c>
      <c r="I42" s="26" t="s">
        <v>0</v>
      </c>
      <c r="J42" s="24" t="s">
        <v>256</v>
      </c>
      <c r="K42" s="25"/>
      <c r="L42" s="25"/>
      <c r="M42" s="25"/>
      <c r="N42" s="25"/>
      <c r="O42" s="25"/>
      <c r="P42" s="25"/>
      <c r="Q42" s="25"/>
      <c r="R42" s="25"/>
      <c r="S42" s="25"/>
      <c r="T42" s="25"/>
      <c r="U42" s="25"/>
      <c r="V42" s="25"/>
      <c r="W42" s="27"/>
      <c r="X42" s="24"/>
      <c r="Y42" s="24"/>
      <c r="Z42" s="24"/>
    </row>
    <row r="43" spans="1:26" ht="49.5" customHeight="1" x14ac:dyDescent="0.25">
      <c r="A43" s="21"/>
      <c r="B43" s="22" t="s">
        <v>308</v>
      </c>
      <c r="C43" s="22" t="s">
        <v>309</v>
      </c>
      <c r="D43" s="22" t="s">
        <v>310</v>
      </c>
      <c r="E43" s="22" t="s">
        <v>311</v>
      </c>
      <c r="F43" s="22" t="s">
        <v>312</v>
      </c>
      <c r="G43" s="22" t="s">
        <v>313</v>
      </c>
      <c r="H43" s="22" t="s">
        <v>314</v>
      </c>
      <c r="I43" s="26" t="s">
        <v>0</v>
      </c>
      <c r="J43" s="24" t="s">
        <v>256</v>
      </c>
      <c r="K43" s="25"/>
      <c r="L43" s="25"/>
      <c r="M43" s="25"/>
      <c r="N43" s="25"/>
      <c r="O43" s="25"/>
      <c r="P43" s="25"/>
      <c r="Q43" s="25"/>
      <c r="R43" s="25"/>
      <c r="S43" s="25"/>
      <c r="T43" s="25"/>
      <c r="U43" s="25"/>
      <c r="V43" s="25"/>
      <c r="W43" s="27"/>
      <c r="X43" s="24"/>
      <c r="Y43" s="24"/>
      <c r="Z43" s="24"/>
    </row>
    <row r="44" spans="1:26" ht="49.5" customHeight="1" x14ac:dyDescent="0.25">
      <c r="A44" s="21"/>
      <c r="B44" s="22" t="s">
        <v>315</v>
      </c>
      <c r="C44" s="22" t="s">
        <v>316</v>
      </c>
      <c r="D44" s="22" t="s">
        <v>317</v>
      </c>
      <c r="E44" s="22" t="s">
        <v>318</v>
      </c>
      <c r="F44" s="22" t="s">
        <v>319</v>
      </c>
      <c r="G44" s="22" t="s">
        <v>320</v>
      </c>
      <c r="H44" s="22" t="s">
        <v>321</v>
      </c>
      <c r="I44" s="26" t="s">
        <v>0</v>
      </c>
      <c r="J44" s="24" t="s">
        <v>256</v>
      </c>
      <c r="K44" s="25"/>
      <c r="L44" s="25"/>
      <c r="M44" s="25"/>
      <c r="N44" s="25"/>
      <c r="O44" s="25"/>
      <c r="P44" s="25"/>
      <c r="Q44" s="25"/>
      <c r="R44" s="25"/>
      <c r="S44" s="25"/>
      <c r="T44" s="25"/>
      <c r="U44" s="25"/>
      <c r="V44" s="25"/>
      <c r="W44" s="27"/>
      <c r="X44" s="24"/>
      <c r="Y44" s="24"/>
      <c r="Z44" s="24"/>
    </row>
    <row r="45" spans="1:26" ht="49.5" customHeight="1" x14ac:dyDescent="0.25">
      <c r="A45" s="21"/>
      <c r="B45" s="22" t="s">
        <v>315</v>
      </c>
      <c r="C45" s="22" t="s">
        <v>322</v>
      </c>
      <c r="D45" s="22" t="s">
        <v>323</v>
      </c>
      <c r="E45" s="22" t="s">
        <v>324</v>
      </c>
      <c r="F45" s="22" t="s">
        <v>325</v>
      </c>
      <c r="G45" s="22" t="s">
        <v>326</v>
      </c>
      <c r="H45" s="22" t="s">
        <v>327</v>
      </c>
      <c r="I45" s="26" t="s">
        <v>0</v>
      </c>
      <c r="J45" s="24" t="s">
        <v>256</v>
      </c>
      <c r="K45" s="25"/>
      <c r="L45" s="25"/>
      <c r="M45" s="25"/>
      <c r="N45" s="25"/>
      <c r="O45" s="25"/>
      <c r="P45" s="25"/>
      <c r="Q45" s="25"/>
      <c r="R45" s="25"/>
      <c r="S45" s="25"/>
      <c r="T45" s="25"/>
      <c r="U45" s="25"/>
      <c r="V45" s="25"/>
      <c r="W45" s="27"/>
      <c r="X45" s="24"/>
      <c r="Y45" s="24"/>
      <c r="Z45" s="24"/>
    </row>
    <row r="46" spans="1:26" ht="49.5" customHeight="1" x14ac:dyDescent="0.25">
      <c r="A46" s="21"/>
      <c r="B46" s="22" t="s">
        <v>328</v>
      </c>
      <c r="C46" s="22" t="s">
        <v>329</v>
      </c>
      <c r="D46" s="22" t="s">
        <v>330</v>
      </c>
      <c r="E46" s="22" t="s">
        <v>331</v>
      </c>
      <c r="F46" s="22" t="s">
        <v>332</v>
      </c>
      <c r="G46" s="22" t="s">
        <v>333</v>
      </c>
      <c r="H46" s="22" t="s">
        <v>334</v>
      </c>
      <c r="I46" s="26" t="s">
        <v>0</v>
      </c>
      <c r="J46" s="24" t="s">
        <v>256</v>
      </c>
      <c r="K46" s="25"/>
      <c r="L46" s="25"/>
      <c r="M46" s="25"/>
      <c r="N46" s="25"/>
      <c r="O46" s="25"/>
      <c r="P46" s="25"/>
      <c r="Q46" s="25"/>
      <c r="R46" s="25"/>
      <c r="S46" s="25"/>
      <c r="T46" s="25"/>
      <c r="U46" s="25"/>
      <c r="V46" s="25"/>
      <c r="W46" s="27"/>
      <c r="X46" s="24"/>
      <c r="Y46" s="24"/>
      <c r="Z46" s="24"/>
    </row>
    <row r="47" spans="1:26" ht="49.5" customHeight="1" x14ac:dyDescent="0.25">
      <c r="A47" s="21"/>
      <c r="B47" s="22" t="s">
        <v>335</v>
      </c>
      <c r="C47" s="22" t="s">
        <v>336</v>
      </c>
      <c r="D47" s="22" t="s">
        <v>337</v>
      </c>
      <c r="E47" s="22" t="s">
        <v>338</v>
      </c>
      <c r="F47" s="22" t="s">
        <v>339</v>
      </c>
      <c r="G47" s="22" t="s">
        <v>340</v>
      </c>
      <c r="H47" s="22" t="s">
        <v>341</v>
      </c>
      <c r="I47" s="26" t="s">
        <v>0</v>
      </c>
      <c r="J47" s="24" t="s">
        <v>256</v>
      </c>
      <c r="K47" s="25"/>
      <c r="L47" s="25"/>
      <c r="M47" s="25"/>
      <c r="N47" s="25"/>
      <c r="O47" s="25"/>
      <c r="P47" s="25"/>
      <c r="Q47" s="25"/>
      <c r="R47" s="25"/>
      <c r="S47" s="25"/>
      <c r="T47" s="25"/>
      <c r="U47" s="25"/>
      <c r="V47" s="25"/>
      <c r="W47" s="27"/>
      <c r="X47" s="24"/>
      <c r="Y47" s="24"/>
      <c r="Z47" s="24"/>
    </row>
    <row r="48" spans="1:26" ht="49.5" customHeight="1" x14ac:dyDescent="0.25">
      <c r="A48" s="21"/>
      <c r="B48" s="22" t="s">
        <v>335</v>
      </c>
      <c r="C48" s="22" t="s">
        <v>342</v>
      </c>
      <c r="D48" s="22" t="s">
        <v>343</v>
      </c>
      <c r="E48" s="22" t="s">
        <v>344</v>
      </c>
      <c r="F48" s="22" t="s">
        <v>345</v>
      </c>
      <c r="G48" s="22" t="s">
        <v>346</v>
      </c>
      <c r="H48" s="22" t="s">
        <v>347</v>
      </c>
      <c r="I48" s="26" t="s">
        <v>0</v>
      </c>
      <c r="J48" s="24" t="s">
        <v>256</v>
      </c>
      <c r="K48" s="25"/>
      <c r="L48" s="25"/>
      <c r="M48" s="25"/>
      <c r="N48" s="25"/>
      <c r="O48" s="25"/>
      <c r="P48" s="25"/>
      <c r="Q48" s="25"/>
      <c r="R48" s="25"/>
      <c r="S48" s="25"/>
      <c r="T48" s="25"/>
      <c r="U48" s="25"/>
      <c r="V48" s="25"/>
      <c r="W48" s="27"/>
      <c r="X48" s="24"/>
      <c r="Y48" s="24"/>
      <c r="Z48" s="24"/>
    </row>
    <row r="49" spans="1:26" ht="49.5" customHeight="1" x14ac:dyDescent="0.25">
      <c r="A49" s="21"/>
      <c r="B49" s="22" t="s">
        <v>348</v>
      </c>
      <c r="C49" s="22" t="s">
        <v>349</v>
      </c>
      <c r="D49" s="22" t="s">
        <v>350</v>
      </c>
      <c r="E49" s="22" t="s">
        <v>351</v>
      </c>
      <c r="F49" s="22" t="s">
        <v>352</v>
      </c>
      <c r="G49" s="22" t="s">
        <v>353</v>
      </c>
      <c r="H49" s="22" t="s">
        <v>354</v>
      </c>
      <c r="I49" s="26" t="s">
        <v>0</v>
      </c>
      <c r="J49" s="24" t="s">
        <v>256</v>
      </c>
      <c r="K49" s="25"/>
      <c r="L49" s="25"/>
      <c r="M49" s="25"/>
      <c r="N49" s="25"/>
      <c r="O49" s="25"/>
      <c r="P49" s="25"/>
      <c r="Q49" s="25"/>
      <c r="R49" s="25"/>
      <c r="S49" s="25"/>
      <c r="T49" s="25"/>
      <c r="U49" s="25"/>
      <c r="V49" s="25"/>
      <c r="W49" s="27"/>
      <c r="X49" s="24"/>
      <c r="Y49" s="24"/>
      <c r="Z49" s="24"/>
    </row>
    <row r="50" spans="1:26" ht="49.5" customHeight="1" x14ac:dyDescent="0.25">
      <c r="A50" s="21"/>
      <c r="B50" s="22" t="s">
        <v>348</v>
      </c>
      <c r="C50" s="22" t="s">
        <v>355</v>
      </c>
      <c r="D50" s="22" t="s">
        <v>356</v>
      </c>
      <c r="E50" s="22" t="s">
        <v>357</v>
      </c>
      <c r="F50" s="22" t="s">
        <v>358</v>
      </c>
      <c r="G50" s="22" t="s">
        <v>359</v>
      </c>
      <c r="H50" s="22" t="s">
        <v>360</v>
      </c>
      <c r="I50" s="26" t="s">
        <v>0</v>
      </c>
      <c r="J50" s="24" t="s">
        <v>256</v>
      </c>
      <c r="K50" s="25"/>
      <c r="L50" s="25"/>
      <c r="M50" s="25"/>
      <c r="N50" s="25"/>
      <c r="O50" s="25"/>
      <c r="P50" s="25"/>
      <c r="Q50" s="25"/>
      <c r="R50" s="25"/>
      <c r="S50" s="25"/>
      <c r="T50" s="25"/>
      <c r="U50" s="25"/>
      <c r="V50" s="25"/>
      <c r="W50" s="27"/>
      <c r="X50" s="24"/>
      <c r="Y50" s="24"/>
      <c r="Z50" s="24"/>
    </row>
    <row r="51" spans="1:26" ht="49.5" customHeight="1" x14ac:dyDescent="0.25">
      <c r="A51" s="21"/>
      <c r="B51" s="22" t="s">
        <v>361</v>
      </c>
      <c r="C51" s="22" t="s">
        <v>362</v>
      </c>
      <c r="D51" s="22" t="s">
        <v>363</v>
      </c>
      <c r="E51" s="22" t="s">
        <v>364</v>
      </c>
      <c r="F51" s="22" t="s">
        <v>365</v>
      </c>
      <c r="G51" s="22" t="s">
        <v>366</v>
      </c>
      <c r="H51" s="22" t="s">
        <v>367</v>
      </c>
      <c r="I51" s="26" t="s">
        <v>0</v>
      </c>
      <c r="J51" s="24" t="s">
        <v>256</v>
      </c>
      <c r="K51" s="25"/>
      <c r="L51" s="25"/>
      <c r="M51" s="25"/>
      <c r="N51" s="25"/>
      <c r="O51" s="25"/>
      <c r="P51" s="25"/>
      <c r="Q51" s="25"/>
      <c r="R51" s="25"/>
      <c r="S51" s="25"/>
      <c r="T51" s="25"/>
      <c r="U51" s="25"/>
      <c r="V51" s="25"/>
      <c r="W51" s="27"/>
      <c r="X51" s="24"/>
      <c r="Y51" s="24"/>
      <c r="Z51" s="24"/>
    </row>
    <row r="52" spans="1:26" ht="49.5" customHeight="1" x14ac:dyDescent="0.25">
      <c r="A52" s="21"/>
      <c r="B52" s="22" t="s">
        <v>361</v>
      </c>
      <c r="C52" s="22" t="s">
        <v>368</v>
      </c>
      <c r="D52" s="22" t="s">
        <v>369</v>
      </c>
      <c r="E52" s="22" t="s">
        <v>370</v>
      </c>
      <c r="F52" s="22" t="s">
        <v>371</v>
      </c>
      <c r="G52" s="22" t="s">
        <v>372</v>
      </c>
      <c r="H52" s="22"/>
      <c r="I52" s="26" t="s">
        <v>3</v>
      </c>
      <c r="J52" s="24" t="s">
        <v>256</v>
      </c>
      <c r="K52" s="25"/>
      <c r="L52" s="25"/>
      <c r="M52" s="25"/>
      <c r="N52" s="25"/>
      <c r="O52" s="25"/>
      <c r="P52" s="25"/>
      <c r="Q52" s="25"/>
      <c r="R52" s="25"/>
      <c r="S52" s="25"/>
      <c r="T52" s="25"/>
      <c r="U52" s="25"/>
      <c r="V52" s="25"/>
      <c r="W52" s="27"/>
      <c r="X52" s="24"/>
      <c r="Y52" s="24"/>
      <c r="Z52" s="24"/>
    </row>
    <row r="53" spans="1:26" ht="49.5" customHeight="1" x14ac:dyDescent="0.25">
      <c r="A53" s="21"/>
      <c r="B53" s="22" t="s">
        <v>373</v>
      </c>
      <c r="C53" s="22" t="s">
        <v>374</v>
      </c>
      <c r="D53" s="22" t="s">
        <v>375</v>
      </c>
      <c r="E53" s="22" t="s">
        <v>376</v>
      </c>
      <c r="F53" s="22" t="s">
        <v>377</v>
      </c>
      <c r="G53" s="22" t="s">
        <v>378</v>
      </c>
      <c r="H53" s="22" t="s">
        <v>379</v>
      </c>
      <c r="I53" s="26" t="s">
        <v>0</v>
      </c>
      <c r="J53" s="24" t="s">
        <v>256</v>
      </c>
      <c r="K53" s="25"/>
      <c r="L53" s="25"/>
      <c r="M53" s="25"/>
      <c r="N53" s="25"/>
      <c r="O53" s="25"/>
      <c r="P53" s="25"/>
      <c r="Q53" s="25"/>
      <c r="R53" s="25"/>
      <c r="S53" s="25"/>
      <c r="T53" s="25"/>
      <c r="U53" s="25"/>
      <c r="V53" s="25"/>
      <c r="W53" s="27"/>
      <c r="X53" s="24"/>
      <c r="Y53" s="24"/>
      <c r="Z53" s="24"/>
    </row>
    <row r="54" spans="1:26" ht="49.5" customHeight="1" x14ac:dyDescent="0.25">
      <c r="A54" s="21"/>
      <c r="B54" s="22" t="s">
        <v>380</v>
      </c>
      <c r="C54" s="22" t="s">
        <v>381</v>
      </c>
      <c r="D54" s="22" t="s">
        <v>382</v>
      </c>
      <c r="E54" s="22" t="s">
        <v>383</v>
      </c>
      <c r="F54" s="22" t="s">
        <v>384</v>
      </c>
      <c r="G54" s="22" t="s">
        <v>385</v>
      </c>
      <c r="H54" s="22" t="s">
        <v>386</v>
      </c>
      <c r="I54" s="26" t="s">
        <v>0</v>
      </c>
      <c r="J54" s="24" t="s">
        <v>256</v>
      </c>
      <c r="K54" s="25"/>
      <c r="L54" s="25"/>
      <c r="M54" s="25"/>
      <c r="N54" s="25"/>
      <c r="O54" s="25"/>
      <c r="P54" s="25"/>
      <c r="Q54" s="25"/>
      <c r="R54" s="25"/>
      <c r="S54" s="25"/>
      <c r="T54" s="25"/>
      <c r="U54" s="25"/>
      <c r="V54" s="25"/>
      <c r="W54" s="27"/>
      <c r="X54" s="24"/>
      <c r="Y54" s="24"/>
      <c r="Z54" s="24"/>
    </row>
    <row r="55" spans="1:26" ht="49.5" customHeight="1" x14ac:dyDescent="0.25">
      <c r="A55" s="21"/>
      <c r="B55" s="22" t="s">
        <v>387</v>
      </c>
      <c r="C55" s="22" t="s">
        <v>388</v>
      </c>
      <c r="D55" s="22" t="s">
        <v>389</v>
      </c>
      <c r="E55" s="22" t="s">
        <v>390</v>
      </c>
      <c r="F55" s="22" t="s">
        <v>391</v>
      </c>
      <c r="G55" s="22" t="s">
        <v>392</v>
      </c>
      <c r="H55" s="22" t="s">
        <v>393</v>
      </c>
      <c r="I55" s="26" t="s">
        <v>0</v>
      </c>
      <c r="J55" s="24" t="s">
        <v>256</v>
      </c>
      <c r="K55" s="25"/>
      <c r="L55" s="25"/>
      <c r="M55" s="25"/>
      <c r="N55" s="25"/>
      <c r="O55" s="25"/>
      <c r="P55" s="25"/>
      <c r="Q55" s="25"/>
      <c r="R55" s="25"/>
      <c r="S55" s="25"/>
      <c r="T55" s="25"/>
      <c r="U55" s="25"/>
      <c r="V55" s="25"/>
      <c r="W55" s="27"/>
      <c r="X55" s="24"/>
      <c r="Y55" s="24"/>
      <c r="Z55" s="24"/>
    </row>
    <row r="56" spans="1:26" ht="49.5" customHeight="1" x14ac:dyDescent="0.25">
      <c r="A56" s="21"/>
      <c r="B56" s="22" t="s">
        <v>394</v>
      </c>
      <c r="C56" s="22" t="s">
        <v>395</v>
      </c>
      <c r="D56" s="22" t="s">
        <v>396</v>
      </c>
      <c r="E56" s="22" t="s">
        <v>397</v>
      </c>
      <c r="F56" s="22" t="s">
        <v>398</v>
      </c>
      <c r="G56" s="22" t="s">
        <v>399</v>
      </c>
      <c r="H56" s="22" t="s">
        <v>400</v>
      </c>
      <c r="I56" s="26" t="s">
        <v>0</v>
      </c>
      <c r="J56" s="24" t="s">
        <v>256</v>
      </c>
      <c r="K56" s="25"/>
      <c r="L56" s="25"/>
      <c r="M56" s="25"/>
      <c r="N56" s="25"/>
      <c r="O56" s="25"/>
      <c r="P56" s="25"/>
      <c r="Q56" s="25"/>
      <c r="R56" s="25"/>
      <c r="S56" s="25"/>
      <c r="T56" s="25"/>
      <c r="U56" s="25"/>
      <c r="V56" s="25"/>
      <c r="W56" s="27"/>
      <c r="X56" s="24"/>
      <c r="Y56" s="24"/>
      <c r="Z56" s="24"/>
    </row>
    <row r="57" spans="1:26" ht="49.5" customHeight="1" x14ac:dyDescent="0.25">
      <c r="A57" s="21"/>
      <c r="B57" s="22" t="s">
        <v>401</v>
      </c>
      <c r="C57" s="22" t="s">
        <v>402</v>
      </c>
      <c r="D57" s="22" t="s">
        <v>403</v>
      </c>
      <c r="E57" s="22" t="s">
        <v>404</v>
      </c>
      <c r="F57" s="22" t="s">
        <v>405</v>
      </c>
      <c r="G57" s="22" t="s">
        <v>406</v>
      </c>
      <c r="H57" s="22" t="s">
        <v>407</v>
      </c>
      <c r="I57" s="15" t="s">
        <v>0</v>
      </c>
      <c r="J57" s="24" t="s">
        <v>256</v>
      </c>
      <c r="K57" s="25"/>
      <c r="L57" s="25"/>
      <c r="M57" s="25"/>
      <c r="N57" s="25"/>
      <c r="O57" s="25"/>
      <c r="P57" s="25"/>
      <c r="Q57" s="25"/>
      <c r="R57" s="25"/>
      <c r="S57" s="25"/>
      <c r="T57" s="25"/>
      <c r="U57" s="25"/>
      <c r="V57" s="25"/>
      <c r="W57" s="27"/>
      <c r="X57" s="24"/>
      <c r="Y57" s="24"/>
      <c r="Z57" s="24"/>
    </row>
    <row r="58" spans="1:26" ht="49.5" customHeight="1" x14ac:dyDescent="0.25">
      <c r="A58" s="21"/>
      <c r="B58" s="22" t="s">
        <v>408</v>
      </c>
      <c r="C58" s="22" t="s">
        <v>409</v>
      </c>
      <c r="D58" s="22" t="s">
        <v>410</v>
      </c>
      <c r="E58" s="22" t="s">
        <v>411</v>
      </c>
      <c r="F58" s="22" t="s">
        <v>412</v>
      </c>
      <c r="G58" s="22" t="s">
        <v>413</v>
      </c>
      <c r="H58" s="22" t="s">
        <v>414</v>
      </c>
      <c r="I58" s="15" t="s">
        <v>0</v>
      </c>
      <c r="J58" s="24" t="s">
        <v>256</v>
      </c>
      <c r="K58" s="25"/>
      <c r="L58" s="25"/>
      <c r="M58" s="25"/>
      <c r="N58" s="25"/>
      <c r="O58" s="25"/>
      <c r="P58" s="25"/>
      <c r="Q58" s="25"/>
      <c r="R58" s="25"/>
      <c r="S58" s="25"/>
      <c r="T58" s="25"/>
      <c r="U58" s="25"/>
      <c r="V58" s="25"/>
      <c r="W58" s="27"/>
      <c r="X58" s="24"/>
      <c r="Y58" s="24"/>
      <c r="Z58" s="24"/>
    </row>
  </sheetData>
  <mergeCells count="9">
    <mergeCell ref="I7:I8"/>
    <mergeCell ref="J7:J8"/>
    <mergeCell ref="B7:B8"/>
    <mergeCell ref="C7:C8"/>
    <mergeCell ref="D7:D8"/>
    <mergeCell ref="E7:E8"/>
    <mergeCell ref="F7:F8"/>
    <mergeCell ref="G7:G8"/>
    <mergeCell ref="H7:H8"/>
  </mergeCells>
  <dataValidations count="2">
    <dataValidation type="list" allowBlank="1" showErrorMessage="1" sqref="J9:J58" xr:uid="{00000000-0002-0000-0000-000000000000}">
      <formula1>"Yến,Thảo"</formula1>
    </dataValidation>
    <dataValidation type="list" allowBlank="1" showErrorMessage="1" sqref="I9:I58" xr:uid="{00000000-0002-0000-0000-000001000000}">
      <formula1>"Đạt,Không Đạt,Chưa test,Không chạy"</formula1>
    </dataValidation>
  </dataValidation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8"/>
  <sheetViews>
    <sheetView showGridLines="0" workbookViewId="0">
      <pane xSplit="3" ySplit="8" topLeftCell="D16" activePane="bottomRight" state="frozen"/>
      <selection pane="topRight" activeCell="D1" sqref="D1"/>
      <selection pane="bottomLeft" activeCell="A9" sqref="A9"/>
      <selection pane="bottomRight" activeCell="D9" sqref="D9"/>
    </sheetView>
  </sheetViews>
  <sheetFormatPr defaultColWidth="12.6640625" defaultRowHeight="15" customHeight="1" x14ac:dyDescent="0.25"/>
  <cols>
    <col min="1" max="1" width="2.21875" customWidth="1"/>
    <col min="2" max="2" width="11.109375" customWidth="1"/>
    <col min="3" max="3" width="11.33203125" customWidth="1"/>
    <col min="4" max="4" width="23.109375" customWidth="1"/>
    <col min="5" max="5" width="20.109375" customWidth="1"/>
    <col min="6" max="6" width="45.6640625" customWidth="1"/>
    <col min="7" max="7" width="30.77734375" customWidth="1"/>
    <col min="8" max="8" width="29" customWidth="1"/>
    <col min="9" max="9" width="22.77734375" customWidth="1"/>
    <col min="10" max="10" width="15" customWidth="1"/>
    <col min="11" max="11" width="10.33203125" customWidth="1"/>
    <col min="12" max="26" width="8.6640625" customWidth="1"/>
  </cols>
  <sheetData>
    <row r="1" spans="1:26" ht="28.2" x14ac:dyDescent="0.5">
      <c r="A1" s="1"/>
      <c r="B1" s="2"/>
      <c r="C1" s="3"/>
      <c r="D1" s="2"/>
      <c r="E1" s="2"/>
      <c r="F1" s="2"/>
      <c r="G1" s="4"/>
      <c r="H1" s="2"/>
      <c r="I1" s="2"/>
      <c r="J1" s="6"/>
      <c r="K1" s="5"/>
    </row>
    <row r="2" spans="1:26" ht="13.2" x14ac:dyDescent="0.25">
      <c r="A2" s="7"/>
      <c r="B2" s="7"/>
      <c r="C2" s="10"/>
      <c r="D2" s="9"/>
      <c r="E2" s="11"/>
      <c r="F2" s="12"/>
      <c r="G2" s="13"/>
      <c r="H2" s="14" t="s">
        <v>0</v>
      </c>
      <c r="I2" s="15">
        <f>COUNTIF($J$9:$J$18,"Đạt")</f>
        <v>7</v>
      </c>
      <c r="J2" s="6"/>
    </row>
    <row r="3" spans="1:26" ht="13.2" x14ac:dyDescent="0.25">
      <c r="A3" s="7"/>
      <c r="B3" s="7"/>
      <c r="C3" s="10"/>
      <c r="D3" s="11"/>
      <c r="E3" s="11"/>
      <c r="F3" s="13"/>
      <c r="G3" s="13"/>
      <c r="H3" s="14" t="s">
        <v>1</v>
      </c>
      <c r="I3" s="15">
        <f>COUNTIF($J$9:$J$18,"Không Đạt")</f>
        <v>3</v>
      </c>
      <c r="J3" s="6"/>
    </row>
    <row r="4" spans="1:26" ht="13.2" x14ac:dyDescent="0.25">
      <c r="A4" s="7"/>
      <c r="B4" s="7"/>
      <c r="C4" s="17"/>
      <c r="D4" s="11"/>
      <c r="E4" s="11"/>
      <c r="F4" s="13"/>
      <c r="G4" s="13"/>
      <c r="H4" s="14" t="s">
        <v>2</v>
      </c>
      <c r="I4" s="15">
        <f>COUNTIF($J$9:$J$18,"Bị chặn")</f>
        <v>0</v>
      </c>
      <c r="J4" s="6"/>
    </row>
    <row r="5" spans="1:26" ht="13.2" x14ac:dyDescent="0.25">
      <c r="A5" s="7"/>
      <c r="B5" s="7"/>
      <c r="C5" s="10"/>
      <c r="D5" s="11"/>
      <c r="E5" s="11"/>
      <c r="F5" s="13"/>
      <c r="G5" s="13"/>
      <c r="H5" s="14" t="s">
        <v>3</v>
      </c>
      <c r="I5" s="15">
        <f>COUNTIF($J$9:$J$18,"Not Completed")</f>
        <v>0</v>
      </c>
      <c r="J5" s="6"/>
    </row>
    <row r="6" spans="1:26" ht="13.2" x14ac:dyDescent="0.25">
      <c r="A6" s="7"/>
      <c r="B6" s="7"/>
      <c r="C6" s="10"/>
      <c r="D6" s="18"/>
      <c r="E6" s="11"/>
      <c r="F6" s="19"/>
      <c r="G6" s="13"/>
      <c r="H6" s="14" t="s">
        <v>4</v>
      </c>
      <c r="I6" s="15">
        <f>COUNTA($C$9:$C$18)</f>
        <v>10</v>
      </c>
      <c r="J6" s="6"/>
    </row>
    <row r="7" spans="1:26" ht="13.8" x14ac:dyDescent="0.25">
      <c r="A7" s="20"/>
      <c r="B7" s="35" t="s">
        <v>5</v>
      </c>
      <c r="C7" s="33" t="s">
        <v>6</v>
      </c>
      <c r="D7" s="36" t="s">
        <v>7</v>
      </c>
      <c r="E7" s="33" t="s">
        <v>8</v>
      </c>
      <c r="F7" s="36" t="s">
        <v>9</v>
      </c>
      <c r="G7" s="33" t="s">
        <v>10</v>
      </c>
      <c r="H7" s="33" t="s">
        <v>11</v>
      </c>
      <c r="I7" s="33" t="s">
        <v>13</v>
      </c>
      <c r="J7" s="33" t="s">
        <v>12</v>
      </c>
      <c r="K7" s="33" t="s">
        <v>14</v>
      </c>
    </row>
    <row r="8" spans="1:26" ht="13.8" x14ac:dyDescent="0.25">
      <c r="A8" s="20"/>
      <c r="B8" s="34"/>
      <c r="C8" s="34"/>
      <c r="D8" s="34"/>
      <c r="E8" s="34"/>
      <c r="F8" s="34"/>
      <c r="G8" s="34"/>
      <c r="H8" s="34"/>
      <c r="I8" s="34"/>
      <c r="J8" s="34"/>
      <c r="K8" s="34"/>
    </row>
    <row r="9" spans="1:26" ht="158.4" x14ac:dyDescent="0.25">
      <c r="A9" s="21"/>
      <c r="B9" s="22" t="s">
        <v>16</v>
      </c>
      <c r="C9" s="23" t="s">
        <v>17</v>
      </c>
      <c r="D9" s="22" t="s">
        <v>18</v>
      </c>
      <c r="E9" s="22" t="s">
        <v>19</v>
      </c>
      <c r="F9" s="22" t="s">
        <v>20</v>
      </c>
      <c r="G9" s="22" t="s">
        <v>21</v>
      </c>
      <c r="H9" s="22" t="s">
        <v>22</v>
      </c>
      <c r="I9" s="24" t="s">
        <v>23</v>
      </c>
      <c r="J9" s="15" t="s">
        <v>1</v>
      </c>
      <c r="K9" s="24" t="s">
        <v>30</v>
      </c>
      <c r="L9" s="25"/>
      <c r="M9" s="25"/>
      <c r="N9" s="25"/>
      <c r="O9" s="25"/>
      <c r="P9" s="25"/>
      <c r="Q9" s="25"/>
      <c r="R9" s="25"/>
      <c r="S9" s="25"/>
      <c r="T9" s="25"/>
      <c r="U9" s="25"/>
      <c r="V9" s="25"/>
      <c r="W9" s="27"/>
      <c r="X9" s="24"/>
      <c r="Y9" s="24"/>
      <c r="Z9" s="24"/>
    </row>
    <row r="10" spans="1:26" ht="117" customHeight="1" x14ac:dyDescent="0.25">
      <c r="A10" s="21"/>
      <c r="B10" s="22" t="s">
        <v>31</v>
      </c>
      <c r="C10" s="28" t="s">
        <v>32</v>
      </c>
      <c r="D10" s="22" t="s">
        <v>33</v>
      </c>
      <c r="E10" s="22" t="s">
        <v>34</v>
      </c>
      <c r="F10" s="22" t="s">
        <v>35</v>
      </c>
      <c r="G10" s="22" t="s">
        <v>36</v>
      </c>
      <c r="H10" s="22" t="s">
        <v>37</v>
      </c>
      <c r="I10" s="24"/>
      <c r="J10" s="15" t="s">
        <v>0</v>
      </c>
      <c r="K10" s="24" t="s">
        <v>30</v>
      </c>
      <c r="L10" s="25"/>
      <c r="M10" s="25"/>
      <c r="N10" s="25"/>
      <c r="O10" s="25"/>
      <c r="P10" s="25"/>
      <c r="Q10" s="25"/>
      <c r="R10" s="25"/>
      <c r="S10" s="25"/>
      <c r="T10" s="25"/>
      <c r="U10" s="25"/>
      <c r="V10" s="25"/>
      <c r="W10" s="27"/>
      <c r="X10" s="24"/>
      <c r="Y10" s="24"/>
      <c r="Z10" s="24"/>
    </row>
    <row r="11" spans="1:26" ht="110.4" customHeight="1" x14ac:dyDescent="0.25">
      <c r="A11" s="21"/>
      <c r="B11" s="22" t="s">
        <v>45</v>
      </c>
      <c r="C11" s="28" t="s">
        <v>46</v>
      </c>
      <c r="D11" s="22" t="s">
        <v>47</v>
      </c>
      <c r="E11" s="29" t="s">
        <v>48</v>
      </c>
      <c r="F11" s="22" t="s">
        <v>49</v>
      </c>
      <c r="G11" s="22" t="s">
        <v>50</v>
      </c>
      <c r="H11" s="22" t="s">
        <v>52</v>
      </c>
      <c r="I11" s="24"/>
      <c r="J11" s="15" t="s">
        <v>0</v>
      </c>
      <c r="K11" s="24" t="s">
        <v>30</v>
      </c>
      <c r="L11" s="25"/>
      <c r="M11" s="25"/>
      <c r="N11" s="25"/>
      <c r="O11" s="25"/>
      <c r="P11" s="25"/>
      <c r="Q11" s="25"/>
      <c r="R11" s="25"/>
      <c r="S11" s="25"/>
      <c r="T11" s="25"/>
      <c r="U11" s="25"/>
      <c r="V11" s="25"/>
      <c r="W11" s="27"/>
      <c r="X11" s="24"/>
      <c r="Y11" s="24"/>
      <c r="Z11" s="24"/>
    </row>
    <row r="12" spans="1:26" ht="86.25" customHeight="1" x14ac:dyDescent="0.25">
      <c r="A12" s="21"/>
      <c r="B12" s="22" t="s">
        <v>58</v>
      </c>
      <c r="C12" s="28" t="s">
        <v>59</v>
      </c>
      <c r="D12" s="22" t="s">
        <v>60</v>
      </c>
      <c r="E12" s="22" t="s">
        <v>61</v>
      </c>
      <c r="F12" s="22" t="s">
        <v>62</v>
      </c>
      <c r="G12" s="22" t="s">
        <v>64</v>
      </c>
      <c r="H12" s="22" t="s">
        <v>67</v>
      </c>
      <c r="I12" s="24" t="s">
        <v>70</v>
      </c>
      <c r="J12" s="15" t="s">
        <v>1</v>
      </c>
      <c r="K12" s="24" t="s">
        <v>30</v>
      </c>
      <c r="L12" s="25"/>
      <c r="M12" s="25"/>
      <c r="N12" s="25"/>
      <c r="O12" s="25"/>
      <c r="P12" s="25"/>
      <c r="Q12" s="25"/>
      <c r="R12" s="25"/>
      <c r="S12" s="25"/>
      <c r="T12" s="25"/>
      <c r="U12" s="25"/>
      <c r="V12" s="25"/>
      <c r="W12" s="27"/>
      <c r="X12" s="24"/>
      <c r="Y12" s="24"/>
      <c r="Z12" s="24"/>
    </row>
    <row r="13" spans="1:26" ht="103.8" customHeight="1" x14ac:dyDescent="0.25">
      <c r="A13" s="21"/>
      <c r="B13" s="22" t="s">
        <v>73</v>
      </c>
      <c r="C13" s="28" t="s">
        <v>74</v>
      </c>
      <c r="D13" s="22" t="s">
        <v>75</v>
      </c>
      <c r="E13" s="22" t="s">
        <v>76</v>
      </c>
      <c r="F13" s="22" t="s">
        <v>77</v>
      </c>
      <c r="G13" s="22" t="s">
        <v>80</v>
      </c>
      <c r="H13" s="22" t="s">
        <v>82</v>
      </c>
      <c r="I13" s="24" t="s">
        <v>84</v>
      </c>
      <c r="J13" s="15" t="s">
        <v>0</v>
      </c>
      <c r="K13" s="24" t="s">
        <v>30</v>
      </c>
      <c r="L13" s="25"/>
      <c r="M13" s="25"/>
      <c r="N13" s="25"/>
      <c r="O13" s="25"/>
      <c r="P13" s="25"/>
      <c r="Q13" s="25"/>
      <c r="R13" s="25"/>
      <c r="S13" s="25"/>
      <c r="T13" s="25"/>
      <c r="U13" s="25"/>
      <c r="V13" s="25"/>
      <c r="W13" s="27"/>
      <c r="X13" s="24"/>
      <c r="Y13" s="24"/>
      <c r="Z13" s="24"/>
    </row>
    <row r="14" spans="1:26" ht="126.6" customHeight="1" x14ac:dyDescent="0.25">
      <c r="A14" s="21"/>
      <c r="B14" s="22" t="s">
        <v>87</v>
      </c>
      <c r="C14" s="28" t="s">
        <v>88</v>
      </c>
      <c r="D14" s="22" t="s">
        <v>89</v>
      </c>
      <c r="E14" s="30"/>
      <c r="F14" s="22" t="s">
        <v>97</v>
      </c>
      <c r="G14" s="22" t="s">
        <v>98</v>
      </c>
      <c r="H14" s="25" t="s">
        <v>99</v>
      </c>
      <c r="I14" s="24" t="s">
        <v>100</v>
      </c>
      <c r="J14" s="15" t="s">
        <v>0</v>
      </c>
      <c r="K14" s="24" t="s">
        <v>30</v>
      </c>
      <c r="L14" s="25"/>
      <c r="M14" s="25"/>
      <c r="N14" s="25"/>
      <c r="O14" s="25"/>
      <c r="P14" s="25"/>
      <c r="Q14" s="25"/>
      <c r="R14" s="25"/>
      <c r="S14" s="25"/>
      <c r="T14" s="25"/>
      <c r="U14" s="25"/>
      <c r="V14" s="25"/>
      <c r="W14" s="27"/>
      <c r="X14" s="24"/>
      <c r="Y14" s="24"/>
      <c r="Z14" s="24"/>
    </row>
    <row r="15" spans="1:26" ht="85.5" customHeight="1" x14ac:dyDescent="0.25">
      <c r="A15" s="21"/>
      <c r="B15" s="22" t="s">
        <v>105</v>
      </c>
      <c r="C15" s="28" t="s">
        <v>106</v>
      </c>
      <c r="D15" s="22" t="s">
        <v>108</v>
      </c>
      <c r="E15" s="24" t="s">
        <v>110</v>
      </c>
      <c r="F15" s="22" t="s">
        <v>112</v>
      </c>
      <c r="G15" s="22" t="s">
        <v>113</v>
      </c>
      <c r="H15" s="22" t="s">
        <v>114</v>
      </c>
      <c r="I15" s="24" t="s">
        <v>115</v>
      </c>
      <c r="J15" s="15" t="s">
        <v>1</v>
      </c>
      <c r="K15" s="24" t="s">
        <v>30</v>
      </c>
      <c r="L15" s="25"/>
      <c r="M15" s="25"/>
      <c r="N15" s="25"/>
      <c r="O15" s="25"/>
      <c r="P15" s="25"/>
      <c r="Q15" s="25"/>
      <c r="R15" s="25"/>
      <c r="S15" s="25"/>
      <c r="T15" s="25"/>
      <c r="U15" s="25"/>
      <c r="V15" s="25"/>
      <c r="W15" s="27"/>
      <c r="X15" s="24"/>
      <c r="Y15" s="24"/>
      <c r="Z15" s="24"/>
    </row>
    <row r="16" spans="1:26" ht="84.75" customHeight="1" x14ac:dyDescent="0.25">
      <c r="A16" s="21"/>
      <c r="B16" s="22" t="s">
        <v>118</v>
      </c>
      <c r="C16" s="28" t="s">
        <v>119</v>
      </c>
      <c r="D16" s="22" t="s">
        <v>121</v>
      </c>
      <c r="E16" s="22" t="s">
        <v>123</v>
      </c>
      <c r="F16" s="22" t="s">
        <v>126</v>
      </c>
      <c r="G16" s="22" t="s">
        <v>127</v>
      </c>
      <c r="H16" s="22" t="s">
        <v>128</v>
      </c>
      <c r="I16" s="24" t="s">
        <v>129</v>
      </c>
      <c r="J16" s="15" t="s">
        <v>0</v>
      </c>
      <c r="K16" s="24" t="s">
        <v>30</v>
      </c>
      <c r="L16" s="25"/>
      <c r="M16" s="25"/>
      <c r="N16" s="25"/>
      <c r="O16" s="25"/>
      <c r="P16" s="25"/>
      <c r="Q16" s="25"/>
      <c r="R16" s="25"/>
      <c r="S16" s="25"/>
      <c r="T16" s="25"/>
      <c r="U16" s="25"/>
      <c r="V16" s="25"/>
      <c r="W16" s="27"/>
      <c r="X16" s="24"/>
      <c r="Y16" s="24"/>
      <c r="Z16" s="24"/>
    </row>
    <row r="17" spans="1:26" ht="130.19999999999999" customHeight="1" x14ac:dyDescent="0.25">
      <c r="A17" s="21"/>
      <c r="B17" s="22" t="s">
        <v>132</v>
      </c>
      <c r="C17" s="28" t="s">
        <v>134</v>
      </c>
      <c r="D17" s="22" t="s">
        <v>136</v>
      </c>
      <c r="E17" s="22" t="s">
        <v>138</v>
      </c>
      <c r="F17" s="22" t="s">
        <v>140</v>
      </c>
      <c r="G17" s="22" t="s">
        <v>141</v>
      </c>
      <c r="H17" s="22" t="s">
        <v>142</v>
      </c>
      <c r="I17" s="24"/>
      <c r="J17" s="15" t="s">
        <v>0</v>
      </c>
      <c r="K17" s="24" t="s">
        <v>30</v>
      </c>
      <c r="L17" s="25"/>
      <c r="M17" s="25"/>
      <c r="N17" s="25"/>
      <c r="O17" s="25"/>
      <c r="P17" s="25"/>
      <c r="Q17" s="25"/>
      <c r="R17" s="25"/>
      <c r="S17" s="25"/>
      <c r="T17" s="25"/>
      <c r="U17" s="25"/>
      <c r="V17" s="25"/>
      <c r="W17" s="27"/>
      <c r="X17" s="24"/>
      <c r="Y17" s="24"/>
      <c r="Z17" s="24"/>
    </row>
    <row r="18" spans="1:26" ht="49.5" customHeight="1" x14ac:dyDescent="0.25">
      <c r="A18" s="21"/>
      <c r="B18" s="22" t="s">
        <v>146</v>
      </c>
      <c r="C18" s="28" t="s">
        <v>148</v>
      </c>
      <c r="D18" s="22" t="s">
        <v>150</v>
      </c>
      <c r="E18" s="22" t="s">
        <v>152</v>
      </c>
      <c r="F18" s="22" t="s">
        <v>153</v>
      </c>
      <c r="G18" s="22" t="s">
        <v>154</v>
      </c>
      <c r="H18" s="22" t="s">
        <v>155</v>
      </c>
      <c r="I18" s="24"/>
      <c r="J18" s="15" t="s">
        <v>0</v>
      </c>
      <c r="K18" s="24" t="s">
        <v>30</v>
      </c>
      <c r="L18" s="25"/>
      <c r="M18" s="25"/>
      <c r="N18" s="25"/>
      <c r="O18" s="25"/>
      <c r="P18" s="25"/>
      <c r="Q18" s="25"/>
      <c r="R18" s="25"/>
      <c r="S18" s="25"/>
      <c r="T18" s="25"/>
      <c r="U18" s="25"/>
      <c r="V18" s="25"/>
      <c r="W18" s="27"/>
      <c r="X18" s="24"/>
      <c r="Y18" s="24"/>
      <c r="Z18" s="24"/>
    </row>
  </sheetData>
  <mergeCells count="10">
    <mergeCell ref="I7:I8"/>
    <mergeCell ref="J7:J8"/>
    <mergeCell ref="K7:K8"/>
    <mergeCell ref="B7:B8"/>
    <mergeCell ref="C7:C8"/>
    <mergeCell ref="D7:D8"/>
    <mergeCell ref="E7:E8"/>
    <mergeCell ref="F7:F8"/>
    <mergeCell ref="G7:G8"/>
    <mergeCell ref="H7:H8"/>
  </mergeCells>
  <dataValidations count="2">
    <dataValidation type="list" allowBlank="1" showErrorMessage="1" sqref="K9:K18" xr:uid="{00000000-0002-0000-0100-000000000000}">
      <formula1>"Yến,Thảo"</formula1>
    </dataValidation>
    <dataValidation type="list" allowBlank="1" showErrorMessage="1" sqref="J9:J18" xr:uid="{00000000-0002-0000-0100-000001000000}">
      <formula1>"Đạt,Không Đạt,Chưa test,Không chạy"</formula1>
    </dataValidation>
  </dataValidation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Functional Test Case</vt:lpstr>
      <vt:lpstr>Security Test Case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Vu Thi Hai Yen</cp:lastModifiedBy>
  <dcterms:modified xsi:type="dcterms:W3CDTF">2026-09-25T11:14:19Z</dcterms:modified>
</cp:coreProperties>
</file>